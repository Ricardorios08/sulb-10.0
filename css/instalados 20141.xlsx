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555" windowWidth="19440" windowHeight="10980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C41" i="3" l="1"/>
  <c r="A2" i="3"/>
  <c r="A3" i="3" s="1"/>
  <c r="A4" i="3" l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19" i="1"/>
  <c r="A220" i="1" s="1"/>
  <c r="A221" i="1" s="1"/>
  <c r="A222" i="1" s="1"/>
  <c r="A223" i="1" s="1"/>
  <c r="A224" i="1" s="1"/>
  <c r="A225" i="1" s="1"/>
  <c r="A181" i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3" i="1" l="1"/>
  <c r="A5" i="1" l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l="1"/>
  <c r="A18" i="1" s="1"/>
  <c r="J238" i="1"/>
  <c r="K238" i="1" s="1"/>
  <c r="A19" i="1" l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l="1"/>
  <c r="A34" i="1" l="1"/>
  <c r="A35" i="1" s="1"/>
  <c r="A36" i="1" s="1"/>
  <c r="A37" i="1" s="1"/>
  <c r="A38" i="1" l="1"/>
  <c r="A39" i="1" l="1"/>
  <c r="A40" i="1" l="1"/>
  <c r="A201" i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41" i="1" l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l="1"/>
  <c r="A70" i="1" s="1"/>
  <c r="A71" i="1" l="1"/>
  <c r="A72" i="1" s="1"/>
  <c r="A73" i="1" s="1"/>
  <c r="A74" i="1" s="1"/>
  <c r="A75" i="1" s="1"/>
  <c r="A76" i="1" s="1"/>
  <c r="A77" i="1" s="1"/>
  <c r="A78" i="1" s="1"/>
  <c r="A79" i="1" s="1"/>
  <c r="A80" i="1" l="1"/>
  <c r="A81" i="1" l="1"/>
  <c r="A82" i="1" l="1"/>
  <c r="A83" i="1" l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l="1"/>
  <c r="A102" i="1" l="1"/>
  <c r="A103" i="1" s="1"/>
  <c r="A104" i="1" s="1"/>
  <c r="A105" i="1" s="1"/>
  <c r="A106" i="1" s="1"/>
  <c r="A107" i="1" s="1"/>
  <c r="A108" i="1" s="1"/>
  <c r="A109" i="1" s="1"/>
  <c r="A110" i="1" s="1"/>
  <c r="A111" i="1" s="1"/>
  <c r="A112" i="1" l="1"/>
  <c r="A113" i="1" l="1"/>
  <c r="A114" i="1" s="1"/>
  <c r="A115" i="1" s="1"/>
  <c r="A116" i="1" s="1"/>
  <c r="A117" i="1" s="1"/>
  <c r="A118" i="1" l="1"/>
  <c r="A119" i="1" l="1"/>
  <c r="A120" i="1" l="1"/>
  <c r="A121" i="1" l="1"/>
  <c r="A122" i="1" l="1"/>
  <c r="A123" i="1" s="1"/>
  <c r="A124" i="1" l="1"/>
  <c r="A125" i="1" s="1"/>
  <c r="A126" i="1" s="1"/>
  <c r="A127" i="1" s="1"/>
  <c r="A128" i="1" s="1"/>
  <c r="A129" i="1" s="1"/>
  <c r="A130" i="1" s="1"/>
  <c r="A131" i="1" s="1"/>
  <c r="A132" i="1" l="1"/>
  <c r="A133" i="1" s="1"/>
  <c r="A134" i="1" s="1"/>
  <c r="A135" i="1" s="1"/>
  <c r="A136" i="1" s="1"/>
  <c r="A137" i="1" s="1"/>
  <c r="A138" i="1" s="1"/>
  <c r="A139" i="1" s="1"/>
  <c r="A140" i="1" s="1"/>
  <c r="A141" i="1" s="1"/>
  <c r="A142" i="1" l="1"/>
  <c r="A143" i="1" l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l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93" i="1"/>
  <c r="A194" i="1" s="1"/>
  <c r="A195" i="1" s="1"/>
  <c r="A196" i="1" s="1"/>
  <c r="A197" i="1" s="1"/>
  <c r="A198" i="1" s="1"/>
  <c r="A199" i="1" s="1"/>
  <c r="A22" i="3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</calcChain>
</file>

<file path=xl/sharedStrings.xml><?xml version="1.0" encoding="utf-8"?>
<sst xmlns="http://schemas.openxmlformats.org/spreadsheetml/2006/main" count="1633" uniqueCount="438">
  <si>
    <t>LISTADO DE FACTURANTES. Emitido el: 16/09/2014</t>
  </si>
  <si>
    <t>CUENTA</t>
  </si>
  <si>
    <t>TELEFONO</t>
  </si>
  <si>
    <t>CELULAR</t>
  </si>
  <si>
    <t>NRO</t>
  </si>
  <si>
    <t>LOCALIDAD</t>
  </si>
  <si>
    <t>CURI DE MONTBRUN,SARA EST</t>
  </si>
  <si>
    <t xml:space="preserve">- </t>
  </si>
  <si>
    <t>CAPITAL</t>
  </si>
  <si>
    <t>PEREZ ELIZALDE,RAFAEL</t>
  </si>
  <si>
    <t>25 DE MAYO</t>
  </si>
  <si>
    <t>ROSALES,LUIS ALBERTO</t>
  </si>
  <si>
    <t>LOPEZ ANEZ,OSVALDO ITALO</t>
  </si>
  <si>
    <t>MOREL,TITO ARNALDO</t>
  </si>
  <si>
    <t>SAN MARTIN</t>
  </si>
  <si>
    <t>GODOY CRUZ</t>
  </si>
  <si>
    <t>REDONDO DE CABALLERO,GLOR</t>
  </si>
  <si>
    <t>MORRA DE CONDORELLI,TERES</t>
  </si>
  <si>
    <t>GUAYMALLEN</t>
  </si>
  <si>
    <t>ASAN,CARLOS GEDER</t>
  </si>
  <si>
    <t>SAN JUAN</t>
  </si>
  <si>
    <t>BISOGNO,EDUARDO RAIMUNDO</t>
  </si>
  <si>
    <t>RAUEK,MIGUEL ANGEL</t>
  </si>
  <si>
    <t>TORRECILLA,CARLOS JESUS</t>
  </si>
  <si>
    <t>LAS HERAS</t>
  </si>
  <si>
    <t>RIOS,ROBERTO NUMAS</t>
  </si>
  <si>
    <t>ONOFRI,JORGE ROBERTO</t>
  </si>
  <si>
    <t>PEDROSA,OSVALDO RODOLFO C</t>
  </si>
  <si>
    <t>LATRES DE RAUEK,BEATRIZ</t>
  </si>
  <si>
    <t>MORALES, JUAN CARLOS</t>
  </si>
  <si>
    <t>ESCOBAR DE MALAH,ELIZABET</t>
  </si>
  <si>
    <t>GARCIA DE CORVALAN, MARTA</t>
  </si>
  <si>
    <t>HERRERA,RAMON EDUARDO</t>
  </si>
  <si>
    <t>LASCANO,MIGUEL ANGEL</t>
  </si>
  <si>
    <t>MAIPU</t>
  </si>
  <si>
    <t>DE GAETANO, HECTOR RAMON</t>
  </si>
  <si>
    <t>PATRICIAS MENDOCINAS</t>
  </si>
  <si>
    <t>STANELONI DE LOPEZ,ANA MA</t>
  </si>
  <si>
    <t>EUILLADES, ADRIAN OSVALDO</t>
  </si>
  <si>
    <t>STANELONI,PASCUAL ALBERTO</t>
  </si>
  <si>
    <t>SERMAN DE QUIROGA,ANA MAR</t>
  </si>
  <si>
    <t>CHAHER DE SILVA,MARIA ROS</t>
  </si>
  <si>
    <t>BERTETTO MARTA BEATRIZ</t>
  </si>
  <si>
    <t>MALDONADO, SILVIA ALICIA</t>
  </si>
  <si>
    <t>RICO MORETTI,MANUEL</t>
  </si>
  <si>
    <t>LAVALLE</t>
  </si>
  <si>
    <t>ALCUTEN DE BEURET,NORMA N</t>
  </si>
  <si>
    <t>RAMOS,RAUL ROLANDO</t>
  </si>
  <si>
    <t>SALVARANI,EDUARDO JOSE</t>
  </si>
  <si>
    <t>SARROUF CANZ,MARIA ROSA</t>
  </si>
  <si>
    <t>GALAR DE WISNIEWSKI,MARTA</t>
  </si>
  <si>
    <t>RIVEROS DE GONZALEZ,RAQUE</t>
  </si>
  <si>
    <t>RIVADAVIA</t>
  </si>
  <si>
    <t>LANDA,EDGARDO DANIEL</t>
  </si>
  <si>
    <t>FORTUNA,JUAN LUCIO</t>
  </si>
  <si>
    <t>NACIF,HUGO ERNESTO</t>
  </si>
  <si>
    <t>ARANCIBIA,ALBERTO JOSE</t>
  </si>
  <si>
    <t>DIAZ, ROSA MARGARITA</t>
  </si>
  <si>
    <t>SCHEJTER,JOSE JULIO</t>
  </si>
  <si>
    <t>LABANTI,OSVALDO HORACIO</t>
  </si>
  <si>
    <t>BUSTELO, ANA CRISTINA</t>
  </si>
  <si>
    <t>VEGA,RAUL EDUARDO</t>
  </si>
  <si>
    <t>DISTEFANO, MIGUEL ANGEL</t>
  </si>
  <si>
    <t>TASSI DE OCHOA,SILVIA BEA</t>
  </si>
  <si>
    <t>SPEZIA,SUSANA MARIA</t>
  </si>
  <si>
    <t>SALDENA, ESTELA MABEL</t>
  </si>
  <si>
    <t>LANA,FERNANDO HERIBERTO</t>
  </si>
  <si>
    <t>RAMOS,GLORIA CRISTINA</t>
  </si>
  <si>
    <t>CASTELLINO DE ABRAHAN,DEL</t>
  </si>
  <si>
    <t>BERMAN,RUBEN DANIEL</t>
  </si>
  <si>
    <t>PEREZ PALERMO,JUAN CARLOS</t>
  </si>
  <si>
    <t>OZAMIS SUR</t>
  </si>
  <si>
    <t>RODRIGUEZ,JORGE MARIO</t>
  </si>
  <si>
    <t>PASO DE LOS ANDES</t>
  </si>
  <si>
    <t>MARTINELLI DE DE VECCHI,M</t>
  </si>
  <si>
    <t>BARRERA, LEOPOLDO JORGE</t>
  </si>
  <si>
    <t>VICENTE ALICIA N.</t>
  </si>
  <si>
    <t>GALLEGO DE CAPELLANI, RAQ</t>
  </si>
  <si>
    <t>CAVALLO,ALBERTO ESTEBAN</t>
  </si>
  <si>
    <t>QUIROGA DE TELLO,NORMA C.</t>
  </si>
  <si>
    <t>DE VECCHI,RAUL ORLANDO</t>
  </si>
  <si>
    <t>TORNELLO, CARLOS ALBERTO</t>
  </si>
  <si>
    <t>PASCUALETTI DE NACIF,MONI</t>
  </si>
  <si>
    <t>HARGUINDEY, ADRIANA AIDA</t>
  </si>
  <si>
    <t>LUJAN</t>
  </si>
  <si>
    <t>BARZAN DE IMPAGLIAZO,MIRT</t>
  </si>
  <si>
    <t>QUIROGA,EDUARDO ROBERTO</t>
  </si>
  <si>
    <t>LUIS PIEDRABUENA 10 CTRO.SALUD</t>
  </si>
  <si>
    <t>ASENSIO, LILIANA BEATRIZ</t>
  </si>
  <si>
    <t>CROCCO, MONICA BEATRIZ</t>
  </si>
  <si>
    <t>STAGNOLI,DANIEL CARLOS</t>
  </si>
  <si>
    <t>CASTRO DE MESINA, MARIA A</t>
  </si>
  <si>
    <t>GHILARDI, ANA MARIA</t>
  </si>
  <si>
    <t>LICCIARDO, MARIA ELENA</t>
  </si>
  <si>
    <t>CARRIL PONCE</t>
  </si>
  <si>
    <t>MONTORNES, MARTA ELENA</t>
  </si>
  <si>
    <t>YAPUR, GUSTAVO MODESTO</t>
  </si>
  <si>
    <t>155- 093424</t>
  </si>
  <si>
    <t>LISANDRO DE LA TORRE</t>
  </si>
  <si>
    <t>GUIRAO DE ZGAIB, GRACIELA</t>
  </si>
  <si>
    <t>SAN MARTÍN</t>
  </si>
  <si>
    <t>BIANCHI DE ROTONDO, ESTHE</t>
  </si>
  <si>
    <t>ABUD,MARIA ANGELICA</t>
  </si>
  <si>
    <t>DENITA, VICENTE ANTONIO</t>
  </si>
  <si>
    <t>PIGLIONICO, EDUARDO DAMIA</t>
  </si>
  <si>
    <t>KURI, NORA ISABEL</t>
  </si>
  <si>
    <t>156-819574</t>
  </si>
  <si>
    <t>GARAY</t>
  </si>
  <si>
    <t>ROSALES, MARIA ESTELA</t>
  </si>
  <si>
    <t>GANCEDO, GUILLERMO MANUEL</t>
  </si>
  <si>
    <t>BATALLA, STELLA MARIS</t>
  </si>
  <si>
    <t>MASSUD DE MOCAYAR, MABEL</t>
  </si>
  <si>
    <t>VITORIA DE RODRIGUEZ, CLA</t>
  </si>
  <si>
    <t>BUOLOGNE SUR MER</t>
  </si>
  <si>
    <t>AGUERO,WALTER HUGO</t>
  </si>
  <si>
    <t>NAVARTA, LUZ MARINA</t>
  </si>
  <si>
    <t>GIL, MARCELO JESUS</t>
  </si>
  <si>
    <t>SARGENTO CABRAL</t>
  </si>
  <si>
    <t>GIMENEZ MARIA DEL CARMEN</t>
  </si>
  <si>
    <t>LOBOS, ARGENTINO AMERICO</t>
  </si>
  <si>
    <t>RUTA PROV. 50 Y SAN MARTÍN 14</t>
  </si>
  <si>
    <t>GUARNIERI, MARCELO DANIEL</t>
  </si>
  <si>
    <t>NAVARTA, PATRICIA SUSANA</t>
  </si>
  <si>
    <t>AVDA. ACCESO ESTE LATERAL SUR</t>
  </si>
  <si>
    <t>VEGA, FERNANDO CARLOS</t>
  </si>
  <si>
    <t>MAIZ, GRACIELA SILVIA</t>
  </si>
  <si>
    <t>MOLINA, RICARDO DANIEL</t>
  </si>
  <si>
    <t>GENESONI, GRACIELA SUSANA</t>
  </si>
  <si>
    <t>NECOCHEA</t>
  </si>
  <si>
    <t>ORTEGA, SILVANA</t>
  </si>
  <si>
    <t>COLÓN</t>
  </si>
  <si>
    <t>RAY GRISELDA</t>
  </si>
  <si>
    <t>MARCHIORI,CECILIA ANDREA</t>
  </si>
  <si>
    <t>EJERCITO DE LOS ANDES Y CASTELLANOS</t>
  </si>
  <si>
    <t>LONGO, GABRIEL ALEJANDRO</t>
  </si>
  <si>
    <t>SARMIENTO</t>
  </si>
  <si>
    <t>CACCAVARI, MARIA VICTORIA</t>
  </si>
  <si>
    <t>JOSE V. ZAPATA</t>
  </si>
  <si>
    <t>RAVAZZANI, SUSANA</t>
  </si>
  <si>
    <t>ESPANOL, HECTOR ENEAS</t>
  </si>
  <si>
    <t>ESTEVES, GUILLERMO JAVIER</t>
  </si>
  <si>
    <t>DAMIANI, MARIA ELBA BEATR</t>
  </si>
  <si>
    <t>LOPEZ ALICIA ALEJANDRA</t>
  </si>
  <si>
    <t>PEREZ ELIZALDE, RAFAEL FE</t>
  </si>
  <si>
    <t>GARCIA GARCIA, ROBERTO JU</t>
  </si>
  <si>
    <t>VIA, GABRIEL ORLANDO</t>
  </si>
  <si>
    <t>CIUDAD</t>
  </si>
  <si>
    <t>ALLENDES EDGARDO NICOLAS</t>
  </si>
  <si>
    <t>-</t>
  </si>
  <si>
    <t>OTAZUA, RAUL DARIO</t>
  </si>
  <si>
    <t>CASTELLANOS MARIANA VERON</t>
  </si>
  <si>
    <t>ESPAÑA</t>
  </si>
  <si>
    <t>BUSTOS, CARLOS ALBERTO</t>
  </si>
  <si>
    <t>BELGRANO</t>
  </si>
  <si>
    <t>GIMENEZ, GONZALO</t>
  </si>
  <si>
    <t>CONTRERAS FLAVIA LORENA</t>
  </si>
  <si>
    <t>NADAL, DIEGO RODOLFO</t>
  </si>
  <si>
    <t>LESPINA, MARIANA ANDREA</t>
  </si>
  <si>
    <t>SUAREZ SEBASTIAN RAUL</t>
  </si>
  <si>
    <t>Bº UNIMEV TORRE B 5º P. DTO D</t>
  </si>
  <si>
    <t>AMPUERO,ANALIA LOURDES</t>
  </si>
  <si>
    <t>PONCE</t>
  </si>
  <si>
    <t>SCOPEL, MAGALI VANINA</t>
  </si>
  <si>
    <t>BALCANERA</t>
  </si>
  <si>
    <t>CATTANEO CARINA</t>
  </si>
  <si>
    <t>BRIGANTE</t>
  </si>
  <si>
    <t>MATILE, PABLO ADRIAN</t>
  </si>
  <si>
    <t>RUBIO, Stella Maris</t>
  </si>
  <si>
    <t>155 709351</t>
  </si>
  <si>
    <t>CHACABUCO</t>
  </si>
  <si>
    <t>SILVA PABLO DANIEL</t>
  </si>
  <si>
    <t>PEDRO MOLINA</t>
  </si>
  <si>
    <t>YELOS,MARCELA FERNANDA</t>
  </si>
  <si>
    <t>GUEMBE,ROBERTO GUSTAVO AD</t>
  </si>
  <si>
    <t>TONETTO MARTIN, ROXANA</t>
  </si>
  <si>
    <t>CASE, MARIO RUBEN</t>
  </si>
  <si>
    <t>BAZAN , ELIANA LORENA</t>
  </si>
  <si>
    <t>TOMASINI DE CARRIZO</t>
  </si>
  <si>
    <t>FUSCO, MARIELA VERONICA</t>
  </si>
  <si>
    <t>156-920891</t>
  </si>
  <si>
    <t>VARAS, ARIEL FEDERICO</t>
  </si>
  <si>
    <t>LIBERTAD</t>
  </si>
  <si>
    <t>LANA CARINA GABRIELA</t>
  </si>
  <si>
    <t>LINIERS</t>
  </si>
  <si>
    <t>MORRALLA DRAGOTA RICARDO</t>
  </si>
  <si>
    <t>LEIVA VIVIANA PAOLA</t>
  </si>
  <si>
    <t>MILONE SERGIO</t>
  </si>
  <si>
    <t>156-148887</t>
  </si>
  <si>
    <t>LUCENA ETHEL AMANDA</t>
  </si>
  <si>
    <t>VIRGINIO JAVIER FEDERICO</t>
  </si>
  <si>
    <t>CABILDO</t>
  </si>
  <si>
    <t>VARGAS SANDRA FABIANA</t>
  </si>
  <si>
    <t>BORBON JUAN ABEL</t>
  </si>
  <si>
    <t>CNEL.RAMIREZ</t>
  </si>
  <si>
    <t>ARAMBURO,JUAN MANUEL</t>
  </si>
  <si>
    <t>DORREGO</t>
  </si>
  <si>
    <t>LEONARDI, PAOLA</t>
  </si>
  <si>
    <t>LOS PENITENTES</t>
  </si>
  <si>
    <t>S/n</t>
  </si>
  <si>
    <t>BOARELLI, PAOLA VANINA</t>
  </si>
  <si>
    <t>ADOLFO CALLE</t>
  </si>
  <si>
    <t>GIUFFRE HERRERIA,CARINA.</t>
  </si>
  <si>
    <t>BUSTOS MARCELA ALICIA</t>
  </si>
  <si>
    <t>PROVIDIERA PABLO FABIAN</t>
  </si>
  <si>
    <t>156-139606</t>
  </si>
  <si>
    <t>MARIANA ANUNZIATA</t>
  </si>
  <si>
    <t>PEDRO B. PALACIOS</t>
  </si>
  <si>
    <t>BELELLI ANALIA V.</t>
  </si>
  <si>
    <t>SARMIENTO CECILIA</t>
  </si>
  <si>
    <t>FELIPETTA, Gabriela Beatr</t>
  </si>
  <si>
    <t>TTE 1RO. IBAÑEZ</t>
  </si>
  <si>
    <t>STOCO FRANCO</t>
  </si>
  <si>
    <t>CHILE</t>
  </si>
  <si>
    <t>PUENTE AGOSTINI,PABLO LEO</t>
  </si>
  <si>
    <t>RODRIGUEZ PEÑA</t>
  </si>
  <si>
    <t>BARRERA MARTIN MIGUEL</t>
  </si>
  <si>
    <t>PERITO MORENO</t>
  </si>
  <si>
    <t>GONZALEZ JULIO CESAR</t>
  </si>
  <si>
    <t>SAN MIGUEL</t>
  </si>
  <si>
    <t>MENEO GUSTAVO</t>
  </si>
  <si>
    <t>JUAN JOSE VALLE</t>
  </si>
  <si>
    <t>AYBAR JIMENA B.</t>
  </si>
  <si>
    <t>BONFIL SERGIO</t>
  </si>
  <si>
    <t>20 DE JUNIO</t>
  </si>
  <si>
    <t>BROCCHETTO PAMELA NATALIA</t>
  </si>
  <si>
    <t>154-172080</t>
  </si>
  <si>
    <t>RIVEROS A. LORENA</t>
  </si>
  <si>
    <t>TERSOGLIO, SEBASTIAN</t>
  </si>
  <si>
    <t>156-945253</t>
  </si>
  <si>
    <t>BOULOGNE SUR MER</t>
  </si>
  <si>
    <t>FREIXAS MARIA FERNANDA</t>
  </si>
  <si>
    <t>GENERAL PAZ</t>
  </si>
  <si>
    <t>AMPUERO FEDERICO</t>
  </si>
  <si>
    <t>LORENA CRISTINA GOMEZ</t>
  </si>
  <si>
    <t>MARINA ITURBIDE</t>
  </si>
  <si>
    <t>LA PLATA</t>
  </si>
  <si>
    <t>BONAFEDE MELISA</t>
  </si>
  <si>
    <t>ARANCIBIA, RODRIGO JAVIER</t>
  </si>
  <si>
    <t>LASCANO NATALIA MARIELA</t>
  </si>
  <si>
    <t>PATRICIAS ARGENTINAS</t>
  </si>
  <si>
    <t>MIRALLES MARIA DANIELA</t>
  </si>
  <si>
    <t>RODRIGUEZ</t>
  </si>
  <si>
    <t>PIETRINI ESTEBAN ALFIO</t>
  </si>
  <si>
    <t>RUTA DE LOS PATOS</t>
  </si>
  <si>
    <t>Ferrer Maria Belen</t>
  </si>
  <si>
    <t>ROMA</t>
  </si>
  <si>
    <t>NAVARRO ANAHI BELEN</t>
  </si>
  <si>
    <t>MAGRINI VILCHEZ JOHANA</t>
  </si>
  <si>
    <t>FEDERICO MORENO</t>
  </si>
  <si>
    <t>S.V. LABORATORIO S.R.L.</t>
  </si>
  <si>
    <t>BIOLAB S.R.L.</t>
  </si>
  <si>
    <t>TTE. MORANDINI</t>
  </si>
  <si>
    <t>LABORATORIO LOMBARDI</t>
  </si>
  <si>
    <t>ANCLA S.R.L.</t>
  </si>
  <si>
    <t xml:space="preserve">CASTILLO OSCAR Y GRANERO </t>
  </si>
  <si>
    <t>LABORATORIO DR.PUSIOL S.R</t>
  </si>
  <si>
    <t>DON BOSCO 39</t>
  </si>
  <si>
    <t>BIOSALUD S.R.L.</t>
  </si>
  <si>
    <t>JUAN DE GARAY</t>
  </si>
  <si>
    <t>FUNDACION ESCUELA MEDI.NU</t>
  </si>
  <si>
    <t>GARIBALDI</t>
  </si>
  <si>
    <t>CENTRO MEDICO PALMARES S.</t>
  </si>
  <si>
    <t>PALMARES OPEN MALL</t>
  </si>
  <si>
    <t>IBC LABORATORIOS SRL</t>
  </si>
  <si>
    <t>PITTSBURGH S.A.</t>
  </si>
  <si>
    <t>AV. ACCESO ESTE 1070</t>
  </si>
  <si>
    <t>LABORATORIO VIROLOGICO DE</t>
  </si>
  <si>
    <t>CLIN. SANTA MARIA De DELT</t>
  </si>
  <si>
    <t>SOCIEDAD ESPAÑOLA DE SOCO</t>
  </si>
  <si>
    <t>RED BIO S.A</t>
  </si>
  <si>
    <t>CONSTITUCION</t>
  </si>
  <si>
    <t>CLINICA LAVALLE S.A.</t>
  </si>
  <si>
    <t>POLONIO MONTENEGRO</t>
  </si>
  <si>
    <t>Laboratorio Genta S.R.L.</t>
  </si>
  <si>
    <t>PADRE VAZQUEZ</t>
  </si>
  <si>
    <t xml:space="preserve">LABORATORIO INMUNOLOGICO </t>
  </si>
  <si>
    <t>AV. ESPAÑA</t>
  </si>
  <si>
    <t>EMELAB S.A.</t>
  </si>
  <si>
    <t>SAN LORENZO</t>
  </si>
  <si>
    <t>CEPPARO JOSE MANUEL Y MA</t>
  </si>
  <si>
    <t>BARCAGLIONI, María Y RO</t>
  </si>
  <si>
    <t>ANTONIO TOMBA</t>
  </si>
  <si>
    <t>LABORATORIO AZZARONI S.R.</t>
  </si>
  <si>
    <t>VERGARA</t>
  </si>
  <si>
    <t>D´INCA RENATO Y NILDA BAR</t>
  </si>
  <si>
    <t>BARCAGLIONI, Juan C Y RO</t>
  </si>
  <si>
    <t>ARISTÓBULO DEL VALLE</t>
  </si>
  <si>
    <t>PELAYES HUMBERTO S. Y JUL</t>
  </si>
  <si>
    <t>POTT GODOY HNOS. S.A.</t>
  </si>
  <si>
    <t>FUNDACION SALUD ARGENTINA</t>
  </si>
  <si>
    <t>BIOANALITICA DR. E.BISOG</t>
  </si>
  <si>
    <t>OMARLAB S.A.</t>
  </si>
  <si>
    <t>TORRECILLA C. Y TORRECILL</t>
  </si>
  <si>
    <t>BRIZUELA MARIA C. Y PECER</t>
  </si>
  <si>
    <t>RIO JURAMENTO</t>
  </si>
  <si>
    <t>PORTILLO ZEGA S.H.</t>
  </si>
  <si>
    <t>BARCALA</t>
  </si>
  <si>
    <t>LABORATORIO PASTEUR S.A.</t>
  </si>
  <si>
    <t>SAN LUIS</t>
  </si>
  <si>
    <t>HARGUINDEY A. Y BACCARELL</t>
  </si>
  <si>
    <t>LARREA</t>
  </si>
  <si>
    <t>MATILE Pablo,MATILE, Andr</t>
  </si>
  <si>
    <t>LABORATORIOS BIOLAB MENDO</t>
  </si>
  <si>
    <t>SIBCELAB S.A.</t>
  </si>
  <si>
    <t>LAB ANALISIS CLINICOS EUI</t>
  </si>
  <si>
    <t>GUIÑAZU</t>
  </si>
  <si>
    <t xml:space="preserve">NAVARTA LUZ Y WIEDERHOLD </t>
  </si>
  <si>
    <t xml:space="preserve">SCHEJTER JOSE Y SCHEJTER </t>
  </si>
  <si>
    <t>GOMEZ SUSANA Y ARIAS SOFI</t>
  </si>
  <si>
    <t>EJERCITO DE LOS ANDES</t>
  </si>
  <si>
    <t>PIGLIONICO, FABIAN Y PIGL</t>
  </si>
  <si>
    <t>JOAQUÍN V. GONZALEZ</t>
  </si>
  <si>
    <t>MUZZINO, Ma.Silvana Y Ve</t>
  </si>
  <si>
    <t>TABOADA</t>
  </si>
  <si>
    <t>LABORATORIO RAY - MAIZ S.</t>
  </si>
  <si>
    <t>SAN CAMILO DE LELIS S.A</t>
  </si>
  <si>
    <t>PABLO DANIEL SILVA Y LUIS</t>
  </si>
  <si>
    <t>BIOGEN S.A.</t>
  </si>
  <si>
    <t>RIOJA</t>
  </si>
  <si>
    <t>RUBIO MANZUR S.A.</t>
  </si>
  <si>
    <t>ALICIA NIEVES VICENTE Y M</t>
  </si>
  <si>
    <t xml:space="preserve">TORNELLO, CARLOS ALBERTO </t>
  </si>
  <si>
    <t>DIRECCION</t>
  </si>
  <si>
    <r>
      <t>CELULAR</t>
    </r>
    <r>
      <rPr>
        <sz val="10"/>
        <rFont val="Arial"/>
        <family val="2"/>
      </rPr>
      <t xml:space="preserve"> 2</t>
    </r>
  </si>
  <si>
    <t>ARISTIDES VILLANUEVA</t>
  </si>
  <si>
    <t>ROQUE SAENZ PEÑA</t>
  </si>
  <si>
    <t>FRANCISCO DE LA RETA</t>
  </si>
  <si>
    <t>MITRE</t>
  </si>
  <si>
    <t>FELIX FRIAS</t>
  </si>
  <si>
    <t>ENTRE RIOS</t>
  </si>
  <si>
    <t>BLANCO ENCALADA</t>
  </si>
  <si>
    <t>SUIPACHA</t>
  </si>
  <si>
    <t>OLASCOAGA</t>
  </si>
  <si>
    <t>DR.JOHN SHAL</t>
  </si>
  <si>
    <t>PAULA ALBARRACIN</t>
  </si>
  <si>
    <t>LISANDRO MOYANO</t>
  </si>
  <si>
    <t>OZAMIZ</t>
  </si>
  <si>
    <t>MONTEVIDEO</t>
  </si>
  <si>
    <t>B. U.N.I.M.E.V.</t>
  </si>
  <si>
    <t>CANGALLO</t>
  </si>
  <si>
    <t>LOCAL</t>
  </si>
  <si>
    <t>LOCAL 3</t>
  </si>
  <si>
    <t>TIBURCIO BENEGAS</t>
  </si>
  <si>
    <t>HUARPES</t>
  </si>
  <si>
    <t>DPTO A</t>
  </si>
  <si>
    <t>JORGE A. CALLE</t>
  </si>
  <si>
    <t>12 DE FEBRERO</t>
  </si>
  <si>
    <t>ALVAREZ THOMAS</t>
  </si>
  <si>
    <t>CHARCAS</t>
  </si>
  <si>
    <t>BANDERA DE LOS ANDES</t>
  </si>
  <si>
    <t>TALCAHUANO</t>
  </si>
  <si>
    <t>SUB-SUELO 06</t>
  </si>
  <si>
    <t>BELTRAN SUR</t>
  </si>
  <si>
    <t>ACCESO ESTE</t>
  </si>
  <si>
    <t>GUTIERREZ</t>
  </si>
  <si>
    <t>BASE ESPERANZA</t>
  </si>
  <si>
    <t>JOAQUIN V GONZALEZ</t>
  </si>
  <si>
    <t>PUEYRREDON</t>
  </si>
  <si>
    <t>PELLEGRINI</t>
  </si>
  <si>
    <t>URQUIZA</t>
  </si>
  <si>
    <t>LOCAL 2</t>
  </si>
  <si>
    <t>JUAN B. JUSTO</t>
  </si>
  <si>
    <t>DR. MORENO</t>
  </si>
  <si>
    <t>FRANCISCO ALVAREZ</t>
  </si>
  <si>
    <t>4 -P</t>
  </si>
  <si>
    <t>Y CABILDO</t>
  </si>
  <si>
    <t>DOCTOR MORENO</t>
  </si>
  <si>
    <t>BALCARCE</t>
  </si>
  <si>
    <t>S</t>
  </si>
  <si>
    <t>NO LO QUIERE</t>
  </si>
  <si>
    <t>INSTALADO</t>
  </si>
  <si>
    <t>GABRIELA AZZARONI</t>
  </si>
  <si>
    <t>OZAMIS</t>
  </si>
  <si>
    <t>N</t>
  </si>
  <si>
    <t>VT</t>
  </si>
  <si>
    <t xml:space="preserve">VM </t>
  </si>
  <si>
    <t>VISITA MAÑANA</t>
  </si>
  <si>
    <t>VP</t>
  </si>
  <si>
    <t>VISITA PAMI</t>
  </si>
  <si>
    <t>INSTALDO</t>
  </si>
  <si>
    <t>VOLVER</t>
  </si>
  <si>
    <t>VISITA TARDE</t>
  </si>
  <si>
    <t>SP</t>
  </si>
  <si>
    <t>SISTEMA PROPIO</t>
  </si>
  <si>
    <t>M,M O VI</t>
  </si>
  <si>
    <t>NQ</t>
  </si>
  <si>
    <t>A. CALLE Y LAS CAÑAS</t>
  </si>
  <si>
    <t>C. FLOR</t>
  </si>
  <si>
    <t>V</t>
  </si>
  <si>
    <t>VISITAR NUEVAMENTE</t>
  </si>
  <si>
    <t>SV</t>
  </si>
  <si>
    <t>VOLVER CUANDO TENGA PC</t>
  </si>
  <si>
    <t>CARROD</t>
  </si>
  <si>
    <t>NO SE ENCUENTRA</t>
  </si>
  <si>
    <t>C</t>
  </si>
  <si>
    <t>VMC</t>
  </si>
  <si>
    <t>VOLVER MAÑANA CELULAR</t>
  </si>
  <si>
    <t>CLIENTE</t>
  </si>
  <si>
    <t>NF</t>
  </si>
  <si>
    <t>NO FUNCIONA</t>
  </si>
  <si>
    <t>BL</t>
  </si>
  <si>
    <t>BAJA LABORATORIO</t>
  </si>
  <si>
    <t xml:space="preserve">QUEDAN </t>
  </si>
  <si>
    <t>MISMA DIRECCION</t>
  </si>
  <si>
    <t xml:space="preserve">PP </t>
  </si>
  <si>
    <t>PODEMOS PASAR</t>
  </si>
  <si>
    <t>T</t>
  </si>
  <si>
    <t>BELTRAN</t>
  </si>
  <si>
    <t>RODEO</t>
  </si>
  <si>
    <t>USPA</t>
  </si>
  <si>
    <t>COSTA ARA.</t>
  </si>
  <si>
    <t>S/INT</t>
  </si>
  <si>
    <t>EIBAR, VANINA SOL</t>
  </si>
  <si>
    <t>USPALLATA</t>
  </si>
  <si>
    <t>Cantidad de Cuentas Facturantes: 222</t>
  </si>
  <si>
    <t>NC</t>
  </si>
  <si>
    <t>No es un bioquimico.</t>
  </si>
  <si>
    <t>Problema con las cloacas, mas adelante</t>
  </si>
  <si>
    <t>No tiene tiempo porque no tiene secretaria</t>
  </si>
  <si>
    <t>Nunca nos pudimos comunicar</t>
  </si>
  <si>
    <t>No atiende, ocupado permanente</t>
  </si>
  <si>
    <t>Cayetano dijo que NQ</t>
  </si>
  <si>
    <t>Problemas con el tiempo quedo para despues de enero</t>
  </si>
  <si>
    <t>No le interesa, computadora muy llena de info</t>
  </si>
  <si>
    <t>Tiene sistema propio.</t>
  </si>
  <si>
    <t>No le interesa</t>
  </si>
  <si>
    <t>Por ahora no lo quiere</t>
  </si>
  <si>
    <t>Jubilado</t>
  </si>
  <si>
    <t>Sistema propio</t>
  </si>
  <si>
    <t>Jubilada</t>
  </si>
  <si>
    <t>No contesta celular</t>
  </si>
  <si>
    <t>Por ahora no lo quiere. Pocas ordenes en ABM</t>
  </si>
  <si>
    <t>No trabaja con ordenes en ABM</t>
  </si>
  <si>
    <t>7,30 12</t>
  </si>
  <si>
    <t>17 a 20</t>
  </si>
  <si>
    <t>chacras</t>
  </si>
  <si>
    <t>c</t>
  </si>
  <si>
    <t>TV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</si>
</sst>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Trebuchet MS"/>
      <family val="2"/>
    </font>
    <font>
      <sz val="10"/>
      <color indexed="8"/>
      <name val="Trebuchet MS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0"/>
      <color theme="0" tint="-4.9989318521683403E-2"/>
      <name val="Trebuchet MS"/>
      <family val="2"/>
    </font>
    <font>
      <sz val="10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1" fillId="0" borderId="0"/>
    <xf numFmtId="0" fontId="4" fillId="3" borderId="0" applyNumberFormat="0" applyBorder="0" applyAlignment="0" applyProtection="0"/>
    <xf numFmtId="0" fontId="5" fillId="4" borderId="0" applyNumberFormat="0" applyBorder="0" applyAlignment="0" applyProtection="0"/>
    <xf numFmtId="0" fontId="10" fillId="7" borderId="12" applyNumberFormat="0" applyAlignment="0" applyProtection="0"/>
    <xf numFmtId="0" fontId="13" fillId="8" borderId="14" applyNumberFormat="0" applyAlignment="0" applyProtection="0"/>
    <xf numFmtId="0" fontId="12" fillId="9" borderId="15" applyNumberFormat="0" applyFont="0" applyAlignment="0" applyProtection="0"/>
  </cellStyleXfs>
  <cellXfs count="65">
    <xf numFmtId="0" fontId="0" fillId="0" borderId="0" xfId="0"/>
    <xf numFmtId="0" fontId="3" fillId="2" borderId="4" xfId="1" applyFont="1" applyFill="1" applyBorder="1" applyAlignment="1">
      <alignment horizontal="center" wrapText="1"/>
    </xf>
    <xf numFmtId="0" fontId="2" fillId="2" borderId="4" xfId="1" applyFont="1" applyFill="1" applyBorder="1" applyAlignment="1">
      <alignment horizontal="center" wrapText="1"/>
    </xf>
    <xf numFmtId="0" fontId="1" fillId="0" borderId="1" xfId="1" applyBorder="1"/>
    <xf numFmtId="0" fontId="2" fillId="2" borderId="2" xfId="1" applyFont="1" applyFill="1" applyBorder="1" applyAlignment="1">
      <alignment horizontal="center" wrapText="1"/>
    </xf>
    <xf numFmtId="0" fontId="0" fillId="0" borderId="6" xfId="0" applyBorder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right"/>
    </xf>
    <xf numFmtId="0" fontId="4" fillId="3" borderId="6" xfId="2" applyBorder="1"/>
    <xf numFmtId="0" fontId="4" fillId="3" borderId="3" xfId="2" applyBorder="1" applyAlignment="1">
      <alignment horizontal="right" wrapText="1"/>
    </xf>
    <xf numFmtId="0" fontId="4" fillId="3" borderId="4" xfId="2" applyBorder="1" applyAlignment="1">
      <alignment wrapText="1"/>
    </xf>
    <xf numFmtId="0" fontId="4" fillId="3" borderId="2" xfId="2" applyBorder="1" applyAlignment="1">
      <alignment wrapText="1"/>
    </xf>
    <xf numFmtId="0" fontId="4" fillId="3" borderId="7" xfId="2" applyBorder="1" applyAlignment="1">
      <alignment horizontal="center"/>
    </xf>
    <xf numFmtId="0" fontId="2" fillId="2" borderId="8" xfId="1" applyFont="1" applyFill="1" applyBorder="1" applyAlignment="1">
      <alignment horizontal="center" wrapText="1"/>
    </xf>
    <xf numFmtId="0" fontId="2" fillId="0" borderId="0" xfId="1" applyFont="1" applyFill="1" applyBorder="1" applyAlignment="1">
      <alignment wrapText="1"/>
    </xf>
    <xf numFmtId="0" fontId="4" fillId="3" borderId="6" xfId="2" applyBorder="1" applyAlignment="1">
      <alignment horizontal="center"/>
    </xf>
    <xf numFmtId="0" fontId="0" fillId="0" borderId="0" xfId="0" applyBorder="1"/>
    <xf numFmtId="0" fontId="6" fillId="0" borderId="0" xfId="0" applyFont="1" applyAlignment="1">
      <alignment horizontal="center"/>
    </xf>
    <xf numFmtId="0" fontId="5" fillId="4" borderId="3" xfId="3" applyBorder="1" applyAlignment="1">
      <alignment horizontal="right" wrapText="1"/>
    </xf>
    <xf numFmtId="0" fontId="5" fillId="4" borderId="4" xfId="3" applyBorder="1" applyAlignment="1">
      <alignment wrapText="1"/>
    </xf>
    <xf numFmtId="0" fontId="5" fillId="4" borderId="2" xfId="3" applyBorder="1" applyAlignment="1">
      <alignment wrapText="1"/>
    </xf>
    <xf numFmtId="0" fontId="5" fillId="4" borderId="6" xfId="3" applyBorder="1" applyAlignment="1">
      <alignment horizontal="center"/>
    </xf>
    <xf numFmtId="0" fontId="0" fillId="0" borderId="0" xfId="0" applyFill="1" applyBorder="1"/>
    <xf numFmtId="0" fontId="4" fillId="3" borderId="0" xfId="2" applyBorder="1" applyAlignment="1">
      <alignment wrapText="1"/>
    </xf>
    <xf numFmtId="0" fontId="0" fillId="6" borderId="9" xfId="0" applyFill="1" applyBorder="1" applyAlignment="1">
      <alignment horizontal="center"/>
    </xf>
    <xf numFmtId="0" fontId="4" fillId="3" borderId="10" xfId="2" applyBorder="1" applyAlignment="1">
      <alignment horizontal="center"/>
    </xf>
    <xf numFmtId="0" fontId="4" fillId="3" borderId="11" xfId="2" applyBorder="1" applyAlignment="1">
      <alignment horizontal="center"/>
    </xf>
    <xf numFmtId="0" fontId="7" fillId="5" borderId="3" xfId="1" applyFont="1" applyFill="1" applyBorder="1" applyAlignment="1">
      <alignment horizontal="right" wrapText="1"/>
    </xf>
    <xf numFmtId="0" fontId="7" fillId="5" borderId="4" xfId="1" applyFont="1" applyFill="1" applyBorder="1" applyAlignment="1">
      <alignment wrapText="1"/>
    </xf>
    <xf numFmtId="0" fontId="7" fillId="5" borderId="2" xfId="1" applyFont="1" applyFill="1" applyBorder="1" applyAlignment="1">
      <alignment wrapText="1"/>
    </xf>
    <xf numFmtId="0" fontId="8" fillId="5" borderId="6" xfId="0" applyFont="1" applyFill="1" applyBorder="1" applyAlignment="1">
      <alignment horizontal="center"/>
    </xf>
    <xf numFmtId="0" fontId="9" fillId="5" borderId="6" xfId="0" applyFont="1" applyFill="1" applyBorder="1" applyAlignment="1">
      <alignment horizontal="center"/>
    </xf>
    <xf numFmtId="0" fontId="9" fillId="5" borderId="3" xfId="3" applyFont="1" applyFill="1" applyBorder="1" applyAlignment="1">
      <alignment horizontal="right" wrapText="1"/>
    </xf>
    <xf numFmtId="0" fontId="9" fillId="5" borderId="4" xfId="3" applyFont="1" applyFill="1" applyBorder="1" applyAlignment="1">
      <alignment wrapText="1"/>
    </xf>
    <xf numFmtId="0" fontId="9" fillId="5" borderId="2" xfId="3" applyFont="1" applyFill="1" applyBorder="1" applyAlignment="1">
      <alignment wrapText="1"/>
    </xf>
    <xf numFmtId="0" fontId="9" fillId="5" borderId="6" xfId="3" applyFont="1" applyFill="1" applyBorder="1" applyAlignment="1">
      <alignment horizontal="center"/>
    </xf>
    <xf numFmtId="0" fontId="10" fillId="5" borderId="12" xfId="4" applyFill="1" applyAlignment="1">
      <alignment horizontal="center"/>
    </xf>
    <xf numFmtId="16" fontId="4" fillId="3" borderId="6" xfId="2" applyNumberFormat="1" applyBorder="1" applyAlignment="1">
      <alignment horizontal="center"/>
    </xf>
    <xf numFmtId="0" fontId="4" fillId="3" borderId="4" xfId="2" applyBorder="1"/>
    <xf numFmtId="0" fontId="11" fillId="5" borderId="12" xfId="4" applyFont="1" applyFill="1" applyAlignment="1">
      <alignment horizontal="right" wrapText="1"/>
    </xf>
    <xf numFmtId="0" fontId="11" fillId="5" borderId="12" xfId="4" applyFont="1" applyFill="1" applyAlignment="1">
      <alignment wrapText="1"/>
    </xf>
    <xf numFmtId="0" fontId="11" fillId="5" borderId="12" xfId="4" applyFont="1" applyFill="1" applyAlignment="1">
      <alignment horizontal="center"/>
    </xf>
    <xf numFmtId="18" fontId="11" fillId="5" borderId="12" xfId="4" applyNumberFormat="1" applyFont="1" applyFill="1" applyAlignment="1">
      <alignment wrapText="1"/>
    </xf>
    <xf numFmtId="0" fontId="10" fillId="5" borderId="12" xfId="4" applyFill="1"/>
    <xf numFmtId="0" fontId="10" fillId="5" borderId="12" xfId="4" applyFill="1" applyAlignment="1">
      <alignment horizontal="right" wrapText="1"/>
    </xf>
    <xf numFmtId="0" fontId="10" fillId="5" borderId="12" xfId="4" applyFill="1" applyAlignment="1">
      <alignment wrapText="1"/>
    </xf>
    <xf numFmtId="0" fontId="5" fillId="4" borderId="6" xfId="3" applyBorder="1"/>
    <xf numFmtId="0" fontId="14" fillId="5" borderId="6" xfId="0" applyFont="1" applyFill="1" applyBorder="1"/>
    <xf numFmtId="0" fontId="13" fillId="8" borderId="14" xfId="5"/>
    <xf numFmtId="0" fontId="13" fillId="8" borderId="14" xfId="5" applyAlignment="1">
      <alignment horizontal="right" wrapText="1"/>
    </xf>
    <xf numFmtId="0" fontId="13" fillId="8" borderId="14" xfId="5" applyAlignment="1">
      <alignment wrapText="1"/>
    </xf>
    <xf numFmtId="0" fontId="13" fillId="8" borderId="14" xfId="5" applyAlignment="1">
      <alignment horizontal="center"/>
    </xf>
    <xf numFmtId="0" fontId="4" fillId="9" borderId="15" xfId="6" applyFont="1" applyAlignment="1">
      <alignment wrapText="1"/>
    </xf>
    <xf numFmtId="0" fontId="13" fillId="8" borderId="14" xfId="5" applyAlignment="1">
      <alignment horizontal="left"/>
    </xf>
    <xf numFmtId="0" fontId="13" fillId="8" borderId="14" xfId="5" applyFont="1" applyAlignment="1">
      <alignment horizontal="left"/>
    </xf>
    <xf numFmtId="0" fontId="4" fillId="3" borderId="15" xfId="2" applyBorder="1" applyAlignment="1">
      <alignment wrapText="1"/>
    </xf>
    <xf numFmtId="16" fontId="4" fillId="3" borderId="7" xfId="2" applyNumberFormat="1" applyBorder="1" applyAlignment="1">
      <alignment horizontal="center"/>
    </xf>
    <xf numFmtId="0" fontId="4" fillId="3" borderId="0" xfId="2" applyBorder="1" applyAlignment="1">
      <alignment horizontal="right" wrapText="1"/>
    </xf>
    <xf numFmtId="0" fontId="3" fillId="2" borderId="5" xfId="1" applyFont="1" applyFill="1" applyBorder="1" applyAlignment="1">
      <alignment horizontal="center" wrapText="1"/>
    </xf>
    <xf numFmtId="0" fontId="3" fillId="2" borderId="3" xfId="1" applyFont="1" applyFill="1" applyBorder="1" applyAlignment="1">
      <alignment horizontal="center" wrapText="1"/>
    </xf>
    <xf numFmtId="0" fontId="2" fillId="0" borderId="13" xfId="1" applyFont="1" applyBorder="1" applyAlignment="1">
      <alignment wrapText="1"/>
    </xf>
    <xf numFmtId="0" fontId="2" fillId="0" borderId="5" xfId="1" applyFont="1" applyBorder="1" applyAlignment="1">
      <alignment wrapText="1"/>
    </xf>
    <xf numFmtId="0" fontId="2" fillId="0" borderId="1" xfId="1" applyFont="1" applyBorder="1" applyAlignment="1">
      <alignment horizontal="center" wrapText="1"/>
    </xf>
    <xf numFmtId="0" fontId="2" fillId="2" borderId="0" xfId="1" applyFont="1" applyFill="1" applyBorder="1" applyAlignment="1">
      <alignment horizontal="center" wrapText="1"/>
    </xf>
  </cellXfs>
  <cellStyles count="7">
    <cellStyle name="Buena" xfId="2" builtinId="26"/>
    <cellStyle name="Celda de comprobación" xfId="4" builtinId="23"/>
    <cellStyle name="Incorrecto" xfId="3" builtinId="27"/>
    <cellStyle name="Normal" xfId="0" builtinId="0"/>
    <cellStyle name="Normal_Hoja1" xfId="1"/>
    <cellStyle name="Notas" xfId="6" builtinId="10"/>
    <cellStyle name="Salida" xfId="5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9"/>
  <sheetViews>
    <sheetView tabSelected="1" showWhiteSpace="0" topLeftCell="A97" zoomScaleNormal="100" workbookViewId="0">
      <selection activeCell="M106" sqref="M106"/>
    </sheetView>
  </sheetViews>
  <sheetFormatPr baseColWidth="10" defaultRowHeight="16.5" customHeight="1" x14ac:dyDescent="0.25"/>
  <cols>
    <col min="1" max="1" width="5.140625" customWidth="1"/>
    <col min="2" max="2" width="6.42578125" style="8" customWidth="1"/>
    <col min="3" max="3" width="30.28515625" customWidth="1"/>
    <col min="4" max="4" width="10" customWidth="1"/>
    <col min="6" max="6" width="9.5703125" customWidth="1"/>
    <col min="7" max="7" width="23.140625" customWidth="1"/>
    <col min="8" max="8" width="9.5703125" customWidth="1"/>
    <col min="9" max="9" width="5.85546875" customWidth="1"/>
    <col min="10" max="10" width="13.140625" customWidth="1"/>
    <col min="11" max="11" width="9" style="6" customWidth="1"/>
    <col min="12" max="12" width="8.85546875" style="6" customWidth="1"/>
  </cols>
  <sheetData>
    <row r="1" spans="1:13" ht="16.5" customHeight="1" x14ac:dyDescent="0.3">
      <c r="B1" s="63" t="s">
        <v>0</v>
      </c>
      <c r="C1" s="63"/>
      <c r="D1" s="63"/>
      <c r="E1" s="63"/>
      <c r="F1" s="63"/>
      <c r="G1" s="63"/>
      <c r="H1" s="63"/>
      <c r="I1" s="63"/>
      <c r="J1" s="63"/>
    </row>
    <row r="2" spans="1:13" ht="16.5" customHeight="1" x14ac:dyDescent="0.3">
      <c r="A2" s="5"/>
      <c r="B2" s="59" t="s">
        <v>1</v>
      </c>
      <c r="C2" s="60"/>
      <c r="D2" s="1" t="s">
        <v>2</v>
      </c>
      <c r="E2" s="1" t="s">
        <v>3</v>
      </c>
      <c r="F2" s="1" t="s">
        <v>323</v>
      </c>
      <c r="G2" s="1" t="s">
        <v>322</v>
      </c>
      <c r="H2" s="1"/>
      <c r="I2" s="2" t="s">
        <v>4</v>
      </c>
      <c r="J2" s="4" t="s">
        <v>5</v>
      </c>
      <c r="K2" s="14" t="s">
        <v>370</v>
      </c>
      <c r="L2" s="25"/>
      <c r="M2" s="64" t="s">
        <v>437</v>
      </c>
    </row>
    <row r="3" spans="1:13" ht="16.5" customHeight="1" x14ac:dyDescent="0.25">
      <c r="A3" s="9">
        <f>+A2+1</f>
        <v>1</v>
      </c>
      <c r="B3" s="10">
        <v>357</v>
      </c>
      <c r="C3" s="11" t="s">
        <v>41</v>
      </c>
      <c r="D3" s="11">
        <v>4295292</v>
      </c>
      <c r="E3" s="11">
        <v>156599889</v>
      </c>
      <c r="F3" s="11" t="s">
        <v>7</v>
      </c>
      <c r="G3" s="11" t="s">
        <v>10</v>
      </c>
      <c r="H3" s="11"/>
      <c r="I3" s="11">
        <v>537</v>
      </c>
      <c r="J3" s="12" t="s">
        <v>8</v>
      </c>
      <c r="K3" s="16" t="s">
        <v>368</v>
      </c>
      <c r="L3" s="16"/>
      <c r="M3" s="17"/>
    </row>
    <row r="4" spans="1:13" ht="16.5" customHeight="1" x14ac:dyDescent="0.25">
      <c r="A4" s="9">
        <v>1</v>
      </c>
      <c r="B4" s="10">
        <v>973</v>
      </c>
      <c r="C4" s="11" t="s">
        <v>143</v>
      </c>
      <c r="D4" s="11">
        <v>4233063</v>
      </c>
      <c r="E4" s="11">
        <v>155635689</v>
      </c>
      <c r="F4" s="11">
        <v>155635689</v>
      </c>
      <c r="G4" s="11" t="s">
        <v>10</v>
      </c>
      <c r="H4" s="11"/>
      <c r="I4" s="11">
        <v>576</v>
      </c>
      <c r="J4" s="12" t="s">
        <v>8</v>
      </c>
      <c r="K4" s="16" t="s">
        <v>368</v>
      </c>
      <c r="L4" s="16"/>
      <c r="M4" s="17"/>
    </row>
    <row r="5" spans="1:13" ht="16.5" customHeight="1" x14ac:dyDescent="0.25">
      <c r="A5" s="9">
        <f t="shared" ref="A5:A36" si="0">+A4+1</f>
        <v>2</v>
      </c>
      <c r="B5" s="10">
        <v>103</v>
      </c>
      <c r="C5" s="11" t="s">
        <v>9</v>
      </c>
      <c r="D5" s="11">
        <v>4233063</v>
      </c>
      <c r="E5" s="11" t="s">
        <v>7</v>
      </c>
      <c r="F5" s="11">
        <v>155462476</v>
      </c>
      <c r="G5" s="11" t="s">
        <v>10</v>
      </c>
      <c r="H5" s="11"/>
      <c r="I5" s="11">
        <v>576</v>
      </c>
      <c r="J5" s="12" t="s">
        <v>8</v>
      </c>
      <c r="K5" s="16" t="s">
        <v>368</v>
      </c>
      <c r="L5" s="16"/>
      <c r="M5" s="17"/>
    </row>
    <row r="6" spans="1:13" ht="16.5" customHeight="1" x14ac:dyDescent="0.25">
      <c r="A6" s="9">
        <f t="shared" si="0"/>
        <v>3</v>
      </c>
      <c r="B6" s="10">
        <v>956</v>
      </c>
      <c r="C6" s="11" t="s">
        <v>138</v>
      </c>
      <c r="D6" s="11">
        <v>4233063</v>
      </c>
      <c r="E6" s="11" t="s">
        <v>7</v>
      </c>
      <c r="F6" s="11" t="s">
        <v>7</v>
      </c>
      <c r="G6" s="11" t="s">
        <v>10</v>
      </c>
      <c r="H6" s="11"/>
      <c r="I6" s="11">
        <v>576</v>
      </c>
      <c r="J6" s="12" t="s">
        <v>8</v>
      </c>
      <c r="K6" s="16" t="s">
        <v>368</v>
      </c>
      <c r="L6" s="16"/>
      <c r="M6" s="17"/>
    </row>
    <row r="7" spans="1:13" ht="16.5" customHeight="1" x14ac:dyDescent="0.25">
      <c r="A7" s="9">
        <f t="shared" si="0"/>
        <v>4</v>
      </c>
      <c r="B7" s="10">
        <v>528</v>
      </c>
      <c r="C7" s="11" t="s">
        <v>69</v>
      </c>
      <c r="D7" s="11">
        <v>4230534</v>
      </c>
      <c r="E7" s="11" t="s">
        <v>7</v>
      </c>
      <c r="F7" s="11" t="s">
        <v>7</v>
      </c>
      <c r="G7" s="11" t="s">
        <v>324</v>
      </c>
      <c r="H7" s="11"/>
      <c r="I7" s="11">
        <v>425</v>
      </c>
      <c r="J7" s="12" t="s">
        <v>8</v>
      </c>
      <c r="K7" s="16" t="s">
        <v>368</v>
      </c>
      <c r="L7" s="16"/>
      <c r="M7" s="17"/>
    </row>
    <row r="8" spans="1:13" ht="16.5" customHeight="1" x14ac:dyDescent="0.25">
      <c r="A8" s="9">
        <f t="shared" si="0"/>
        <v>5</v>
      </c>
      <c r="B8" s="10">
        <v>58</v>
      </c>
      <c r="C8" s="11" t="s">
        <v>6</v>
      </c>
      <c r="D8" s="11">
        <v>4297648</v>
      </c>
      <c r="E8" s="11" t="s">
        <v>7</v>
      </c>
      <c r="F8" s="11" t="s">
        <v>7</v>
      </c>
      <c r="G8" s="11" t="s">
        <v>324</v>
      </c>
      <c r="H8" s="11"/>
      <c r="I8" s="11">
        <v>425</v>
      </c>
      <c r="J8" s="12" t="s">
        <v>8</v>
      </c>
      <c r="K8" s="16" t="s">
        <v>368</v>
      </c>
      <c r="L8" s="16"/>
      <c r="M8" s="17"/>
    </row>
    <row r="9" spans="1:13" ht="16.5" customHeight="1" x14ac:dyDescent="0.25">
      <c r="A9" s="9">
        <f t="shared" si="0"/>
        <v>6</v>
      </c>
      <c r="B9" s="10">
        <v>8262</v>
      </c>
      <c r="C9" s="11" t="s">
        <v>285</v>
      </c>
      <c r="D9" s="11">
        <v>4254519</v>
      </c>
      <c r="E9" s="11" t="s">
        <v>7</v>
      </c>
      <c r="F9" s="11" t="s">
        <v>7</v>
      </c>
      <c r="G9" s="11" t="s">
        <v>286</v>
      </c>
      <c r="H9" s="11"/>
      <c r="I9" s="11">
        <v>399</v>
      </c>
      <c r="J9" s="12" t="s">
        <v>8</v>
      </c>
      <c r="K9" s="16" t="s">
        <v>368</v>
      </c>
      <c r="L9" s="16"/>
      <c r="M9" s="17"/>
    </row>
    <row r="10" spans="1:13" ht="16.5" customHeight="1" x14ac:dyDescent="0.25">
      <c r="A10" s="9">
        <f t="shared" si="0"/>
        <v>7</v>
      </c>
      <c r="B10" s="10">
        <v>8203</v>
      </c>
      <c r="C10" s="11" t="s">
        <v>264</v>
      </c>
      <c r="D10" s="11">
        <v>4058600</v>
      </c>
      <c r="E10" s="11">
        <v>155684017</v>
      </c>
      <c r="F10" s="11" t="s">
        <v>7</v>
      </c>
      <c r="G10" s="11" t="s">
        <v>265</v>
      </c>
      <c r="H10" s="11"/>
      <c r="I10" s="11">
        <v>1070</v>
      </c>
      <c r="J10" s="12" t="s">
        <v>8</v>
      </c>
      <c r="K10" s="16" t="s">
        <v>368</v>
      </c>
      <c r="L10" s="16" t="s">
        <v>436</v>
      </c>
      <c r="M10" s="17"/>
    </row>
    <row r="11" spans="1:13" ht="16.5" customHeight="1" x14ac:dyDescent="0.25">
      <c r="A11" s="9">
        <f t="shared" si="0"/>
        <v>8</v>
      </c>
      <c r="B11" s="10">
        <v>8255</v>
      </c>
      <c r="C11" s="11" t="s">
        <v>275</v>
      </c>
      <c r="D11" s="11">
        <v>4256957</v>
      </c>
      <c r="E11" s="11" t="s">
        <v>7</v>
      </c>
      <c r="F11" s="11" t="s">
        <v>7</v>
      </c>
      <c r="G11" s="11" t="s">
        <v>276</v>
      </c>
      <c r="H11" s="11"/>
      <c r="I11" s="11">
        <v>1824</v>
      </c>
      <c r="J11" s="12" t="s">
        <v>8</v>
      </c>
      <c r="K11" s="16" t="s">
        <v>368</v>
      </c>
      <c r="L11" s="16"/>
      <c r="M11" s="17"/>
    </row>
    <row r="12" spans="1:13" ht="16.5" customHeight="1" x14ac:dyDescent="0.25">
      <c r="A12" s="9">
        <f t="shared" si="0"/>
        <v>9</v>
      </c>
      <c r="B12" s="10">
        <v>8270</v>
      </c>
      <c r="C12" s="11" t="s">
        <v>295</v>
      </c>
      <c r="D12" s="11">
        <v>4234738</v>
      </c>
      <c r="E12" s="11" t="s">
        <v>7</v>
      </c>
      <c r="F12" s="11" t="s">
        <v>7</v>
      </c>
      <c r="G12" s="11" t="s">
        <v>296</v>
      </c>
      <c r="H12" s="11"/>
      <c r="I12" s="11">
        <v>513</v>
      </c>
      <c r="J12" s="12" t="s">
        <v>8</v>
      </c>
      <c r="K12" s="16" t="s">
        <v>368</v>
      </c>
      <c r="L12" s="16"/>
      <c r="M12" s="17"/>
    </row>
    <row r="13" spans="1:13" ht="16.5" customHeight="1" x14ac:dyDescent="0.25">
      <c r="A13" s="9">
        <f t="shared" si="0"/>
        <v>10</v>
      </c>
      <c r="B13" s="10">
        <v>1214</v>
      </c>
      <c r="C13" s="11" t="s">
        <v>201</v>
      </c>
      <c r="D13" s="11">
        <v>4200150</v>
      </c>
      <c r="E13" s="11" t="s">
        <v>7</v>
      </c>
      <c r="F13" s="11" t="s">
        <v>7</v>
      </c>
      <c r="G13" s="11" t="s">
        <v>153</v>
      </c>
      <c r="H13" s="11"/>
      <c r="I13" s="11">
        <v>110</v>
      </c>
      <c r="J13" s="12" t="s">
        <v>8</v>
      </c>
      <c r="K13" s="16" t="s">
        <v>368</v>
      </c>
      <c r="L13" s="16"/>
      <c r="M13" s="17"/>
    </row>
    <row r="14" spans="1:13" ht="16.5" customHeight="1" x14ac:dyDescent="0.25">
      <c r="A14" s="9">
        <f t="shared" si="0"/>
        <v>11</v>
      </c>
      <c r="B14" s="10">
        <v>1083</v>
      </c>
      <c r="C14" s="11" t="s">
        <v>172</v>
      </c>
      <c r="D14" s="11">
        <v>4200150</v>
      </c>
      <c r="E14" s="11" t="s">
        <v>7</v>
      </c>
      <c r="F14" s="11" t="s">
        <v>7</v>
      </c>
      <c r="G14" s="11" t="s">
        <v>153</v>
      </c>
      <c r="H14" s="11" t="s">
        <v>360</v>
      </c>
      <c r="I14" s="11">
        <v>110</v>
      </c>
      <c r="J14" s="12" t="s">
        <v>8</v>
      </c>
      <c r="K14" s="27" t="s">
        <v>368</v>
      </c>
      <c r="L14" s="26"/>
      <c r="M14" s="17"/>
    </row>
    <row r="15" spans="1:13" ht="16.5" customHeight="1" x14ac:dyDescent="0.25">
      <c r="A15" s="9">
        <f t="shared" si="0"/>
        <v>12</v>
      </c>
      <c r="B15" s="10">
        <v>1017</v>
      </c>
      <c r="C15" s="11" t="s">
        <v>152</v>
      </c>
      <c r="D15" s="11">
        <v>4234244</v>
      </c>
      <c r="E15" s="11">
        <v>156256658</v>
      </c>
      <c r="F15" s="11" t="s">
        <v>7</v>
      </c>
      <c r="G15" s="11" t="s">
        <v>153</v>
      </c>
      <c r="H15" s="11"/>
      <c r="I15" s="11">
        <v>1007</v>
      </c>
      <c r="J15" s="12" t="s">
        <v>8</v>
      </c>
      <c r="K15" s="13" t="s">
        <v>368</v>
      </c>
      <c r="L15" s="16" t="s">
        <v>436</v>
      </c>
      <c r="M15" s="17"/>
    </row>
    <row r="16" spans="1:13" ht="16.5" customHeight="1" x14ac:dyDescent="0.25">
      <c r="A16" s="9">
        <f t="shared" si="0"/>
        <v>13</v>
      </c>
      <c r="B16" s="10">
        <v>417</v>
      </c>
      <c r="C16" s="11" t="s">
        <v>48</v>
      </c>
      <c r="D16" s="11">
        <v>4239700</v>
      </c>
      <c r="E16" s="11" t="s">
        <v>7</v>
      </c>
      <c r="F16" s="11" t="s">
        <v>7</v>
      </c>
      <c r="G16" s="11" t="s">
        <v>212</v>
      </c>
      <c r="H16" s="11"/>
      <c r="I16" s="11">
        <v>925</v>
      </c>
      <c r="J16" s="12" t="s">
        <v>8</v>
      </c>
      <c r="K16" s="13" t="s">
        <v>368</v>
      </c>
      <c r="L16" s="16"/>
      <c r="M16" s="17"/>
    </row>
    <row r="17" spans="1:13" ht="16.5" customHeight="1" x14ac:dyDescent="0.25">
      <c r="A17" s="9">
        <f t="shared" si="0"/>
        <v>14</v>
      </c>
      <c r="B17" s="10">
        <v>741</v>
      </c>
      <c r="C17" s="11" t="s">
        <v>110</v>
      </c>
      <c r="D17" s="11">
        <v>4259579</v>
      </c>
      <c r="E17" s="11">
        <v>156175930</v>
      </c>
      <c r="F17" s="11" t="s">
        <v>7</v>
      </c>
      <c r="G17" s="11" t="s">
        <v>212</v>
      </c>
      <c r="H17" s="11"/>
      <c r="I17" s="11">
        <v>1445</v>
      </c>
      <c r="J17" s="12" t="s">
        <v>8</v>
      </c>
      <c r="K17" s="13" t="s">
        <v>368</v>
      </c>
      <c r="L17" s="16"/>
      <c r="M17" s="17"/>
    </row>
    <row r="18" spans="1:13" ht="16.5" customHeight="1" x14ac:dyDescent="0.25">
      <c r="A18" s="9">
        <f t="shared" si="0"/>
        <v>15</v>
      </c>
      <c r="B18" s="10">
        <v>1258</v>
      </c>
      <c r="C18" s="11" t="s">
        <v>211</v>
      </c>
      <c r="D18" s="11">
        <v>4260730</v>
      </c>
      <c r="E18" s="11">
        <v>155785233</v>
      </c>
      <c r="F18" s="11">
        <v>155785233</v>
      </c>
      <c r="G18" s="11" t="s">
        <v>212</v>
      </c>
      <c r="H18" s="11"/>
      <c r="I18" s="11">
        <v>1677</v>
      </c>
      <c r="J18" s="12" t="s">
        <v>8</v>
      </c>
      <c r="K18" s="13" t="s">
        <v>368</v>
      </c>
      <c r="L18" s="16"/>
      <c r="M18" s="17"/>
    </row>
    <row r="19" spans="1:13" ht="16.5" customHeight="1" x14ac:dyDescent="0.25">
      <c r="A19" s="9">
        <f t="shared" si="0"/>
        <v>16</v>
      </c>
      <c r="B19" s="10">
        <v>1173</v>
      </c>
      <c r="C19" s="11" t="s">
        <v>192</v>
      </c>
      <c r="D19" s="11">
        <v>4375300</v>
      </c>
      <c r="E19" s="11">
        <v>156480064</v>
      </c>
      <c r="F19" s="11" t="s">
        <v>7</v>
      </c>
      <c r="G19" s="11" t="s">
        <v>193</v>
      </c>
      <c r="H19" s="11"/>
      <c r="I19" s="11">
        <v>3210</v>
      </c>
      <c r="J19" s="12" t="s">
        <v>8</v>
      </c>
      <c r="K19" s="13" t="s">
        <v>368</v>
      </c>
      <c r="L19" s="16"/>
      <c r="M19" s="17"/>
    </row>
    <row r="20" spans="1:13" ht="16.5" customHeight="1" x14ac:dyDescent="0.25">
      <c r="A20" s="9">
        <f t="shared" si="0"/>
        <v>17</v>
      </c>
      <c r="B20" s="10">
        <v>1282</v>
      </c>
      <c r="C20" s="11" t="s">
        <v>221</v>
      </c>
      <c r="D20" s="11">
        <v>4201630</v>
      </c>
      <c r="E20" s="11">
        <v>155330068</v>
      </c>
      <c r="F20" s="11" t="s">
        <v>7</v>
      </c>
      <c r="G20" s="11" t="s">
        <v>130</v>
      </c>
      <c r="H20" s="11"/>
      <c r="I20" s="11">
        <v>412</v>
      </c>
      <c r="J20" s="12" t="s">
        <v>8</v>
      </c>
      <c r="K20" s="13" t="s">
        <v>368</v>
      </c>
      <c r="L20" s="16"/>
      <c r="M20" s="17"/>
    </row>
    <row r="21" spans="1:13" ht="16.5" customHeight="1" x14ac:dyDescent="0.25">
      <c r="A21" s="9">
        <f t="shared" si="0"/>
        <v>18</v>
      </c>
      <c r="B21" s="10">
        <v>358</v>
      </c>
      <c r="C21" s="11" t="s">
        <v>42</v>
      </c>
      <c r="D21" s="11">
        <v>4201630</v>
      </c>
      <c r="E21" s="11" t="s">
        <v>7</v>
      </c>
      <c r="F21" s="11" t="s">
        <v>7</v>
      </c>
      <c r="G21" s="11" t="s">
        <v>130</v>
      </c>
      <c r="H21" s="11"/>
      <c r="I21" s="11">
        <v>412</v>
      </c>
      <c r="J21" s="12" t="s">
        <v>8</v>
      </c>
      <c r="K21" s="13" t="s">
        <v>368</v>
      </c>
      <c r="L21" s="16"/>
      <c r="M21" s="17"/>
    </row>
    <row r="22" spans="1:13" ht="16.5" customHeight="1" x14ac:dyDescent="0.25">
      <c r="A22" s="9">
        <f t="shared" si="0"/>
        <v>19</v>
      </c>
      <c r="B22" s="10">
        <v>8275</v>
      </c>
      <c r="C22" s="11" t="s">
        <v>303</v>
      </c>
      <c r="D22" s="11">
        <v>4201630</v>
      </c>
      <c r="E22" s="11" t="s">
        <v>7</v>
      </c>
      <c r="F22" s="11" t="s">
        <v>7</v>
      </c>
      <c r="G22" s="11" t="s">
        <v>130</v>
      </c>
      <c r="H22" s="11"/>
      <c r="I22" s="11">
        <v>412</v>
      </c>
      <c r="J22" s="12" t="s">
        <v>8</v>
      </c>
      <c r="K22" s="13" t="s">
        <v>368</v>
      </c>
      <c r="L22" s="16"/>
      <c r="M22" s="17"/>
    </row>
    <row r="23" spans="1:13" ht="16.5" customHeight="1" x14ac:dyDescent="0.25">
      <c r="A23" s="9">
        <f t="shared" si="0"/>
        <v>20</v>
      </c>
      <c r="B23" s="10">
        <v>921</v>
      </c>
      <c r="C23" s="11" t="s">
        <v>129</v>
      </c>
      <c r="D23" s="11">
        <v>4290223</v>
      </c>
      <c r="E23" s="11" t="s">
        <v>7</v>
      </c>
      <c r="F23" s="11" t="s">
        <v>7</v>
      </c>
      <c r="G23" s="11" t="s">
        <v>130</v>
      </c>
      <c r="H23" s="11"/>
      <c r="I23" s="11">
        <v>569</v>
      </c>
      <c r="J23" s="12" t="s">
        <v>8</v>
      </c>
      <c r="K23" s="13" t="s">
        <v>368</v>
      </c>
      <c r="L23" s="16"/>
      <c r="M23" s="17"/>
    </row>
    <row r="24" spans="1:13" ht="16.5" customHeight="1" x14ac:dyDescent="0.25">
      <c r="A24" s="9">
        <f t="shared" si="0"/>
        <v>21</v>
      </c>
      <c r="B24" s="10">
        <v>629</v>
      </c>
      <c r="C24" s="11" t="s">
        <v>88</v>
      </c>
      <c r="D24" s="11">
        <v>4239771</v>
      </c>
      <c r="E24" s="11" t="s">
        <v>7</v>
      </c>
      <c r="F24" s="11" t="s">
        <v>7</v>
      </c>
      <c r="G24" s="11" t="s">
        <v>130</v>
      </c>
      <c r="H24" s="11"/>
      <c r="I24" s="11">
        <v>638</v>
      </c>
      <c r="J24" s="12" t="s">
        <v>8</v>
      </c>
      <c r="K24" s="13" t="s">
        <v>368</v>
      </c>
      <c r="L24" s="16" t="s">
        <v>436</v>
      </c>
      <c r="M24" s="17"/>
    </row>
    <row r="25" spans="1:13" ht="16.5" customHeight="1" x14ac:dyDescent="0.25">
      <c r="A25" s="9">
        <f t="shared" si="0"/>
        <v>22</v>
      </c>
      <c r="B25" s="10">
        <v>8170</v>
      </c>
      <c r="C25" s="11" t="s">
        <v>255</v>
      </c>
      <c r="D25" s="11">
        <v>4237898</v>
      </c>
      <c r="E25" s="11" t="s">
        <v>7</v>
      </c>
      <c r="F25" s="11" t="s">
        <v>7</v>
      </c>
      <c r="G25" s="11" t="s">
        <v>256</v>
      </c>
      <c r="H25" s="11"/>
      <c r="I25" s="11">
        <v>39</v>
      </c>
      <c r="J25" s="12" t="s">
        <v>8</v>
      </c>
      <c r="K25" s="13" t="s">
        <v>368</v>
      </c>
      <c r="L25" s="16"/>
      <c r="M25" s="17"/>
    </row>
    <row r="26" spans="1:13" ht="16.5" customHeight="1" x14ac:dyDescent="0.25">
      <c r="A26" s="9">
        <f t="shared" si="0"/>
        <v>23</v>
      </c>
      <c r="B26" s="10">
        <v>388</v>
      </c>
      <c r="C26" s="11" t="s">
        <v>46</v>
      </c>
      <c r="D26" s="11">
        <v>4231776</v>
      </c>
      <c r="E26" s="11" t="s">
        <v>7</v>
      </c>
      <c r="F26" s="11" t="s">
        <v>7</v>
      </c>
      <c r="G26" s="11" t="s">
        <v>329</v>
      </c>
      <c r="H26" s="11"/>
      <c r="I26" s="11">
        <v>594</v>
      </c>
      <c r="J26" s="12" t="s">
        <v>8</v>
      </c>
      <c r="K26" s="13" t="s">
        <v>368</v>
      </c>
      <c r="L26" s="16"/>
      <c r="M26" s="17"/>
    </row>
    <row r="27" spans="1:13" ht="16.5" customHeight="1" x14ac:dyDescent="0.25">
      <c r="A27" s="9">
        <f t="shared" si="0"/>
        <v>24</v>
      </c>
      <c r="B27" s="10">
        <v>8264</v>
      </c>
      <c r="C27" s="11" t="s">
        <v>288</v>
      </c>
      <c r="D27" s="11">
        <v>4257246</v>
      </c>
      <c r="E27" s="11">
        <v>155881821</v>
      </c>
      <c r="F27" s="11" t="s">
        <v>7</v>
      </c>
      <c r="G27" s="11" t="s">
        <v>151</v>
      </c>
      <c r="H27" s="11"/>
      <c r="I27" s="11">
        <v>934</v>
      </c>
      <c r="J27" s="12" t="s">
        <v>8</v>
      </c>
      <c r="K27" s="13" t="s">
        <v>368</v>
      </c>
      <c r="L27" s="16"/>
      <c r="M27" s="17"/>
    </row>
    <row r="28" spans="1:13" ht="16.5" customHeight="1" x14ac:dyDescent="0.25">
      <c r="A28" s="9">
        <f t="shared" si="0"/>
        <v>25</v>
      </c>
      <c r="B28" s="10">
        <v>1015</v>
      </c>
      <c r="C28" s="11" t="s">
        <v>150</v>
      </c>
      <c r="D28" s="11">
        <v>4256957</v>
      </c>
      <c r="E28" s="11">
        <v>156419135</v>
      </c>
      <c r="F28" s="11" t="s">
        <v>7</v>
      </c>
      <c r="G28" s="11" t="s">
        <v>151</v>
      </c>
      <c r="H28" s="11"/>
      <c r="I28" s="11">
        <v>1824</v>
      </c>
      <c r="J28" s="12" t="s">
        <v>8</v>
      </c>
      <c r="K28" s="13" t="s">
        <v>368</v>
      </c>
      <c r="L28" s="16"/>
      <c r="M28" s="17"/>
    </row>
    <row r="29" spans="1:13" ht="16.5" customHeight="1" x14ac:dyDescent="0.25">
      <c r="A29" s="9">
        <f t="shared" si="0"/>
        <v>26</v>
      </c>
      <c r="B29" s="10">
        <v>374</v>
      </c>
      <c r="C29" s="11" t="s">
        <v>43</v>
      </c>
      <c r="D29" s="11">
        <v>4250506</v>
      </c>
      <c r="E29" s="11" t="s">
        <v>7</v>
      </c>
      <c r="F29" s="11" t="s">
        <v>7</v>
      </c>
      <c r="G29" s="11" t="s">
        <v>248</v>
      </c>
      <c r="H29" s="11"/>
      <c r="I29" s="11">
        <v>1175</v>
      </c>
      <c r="J29" s="12" t="s">
        <v>8</v>
      </c>
      <c r="K29" s="13" t="s">
        <v>368</v>
      </c>
      <c r="L29" s="16"/>
      <c r="M29" s="17"/>
    </row>
    <row r="30" spans="1:13" ht="16.5" customHeight="1" x14ac:dyDescent="0.25">
      <c r="A30" s="9">
        <f t="shared" si="0"/>
        <v>27</v>
      </c>
      <c r="B30" s="10">
        <v>431</v>
      </c>
      <c r="C30" s="11" t="s">
        <v>53</v>
      </c>
      <c r="D30" s="11">
        <v>4301528</v>
      </c>
      <c r="E30" s="11" t="s">
        <v>7</v>
      </c>
      <c r="F30" s="11" t="s">
        <v>7</v>
      </c>
      <c r="G30" s="11" t="s">
        <v>248</v>
      </c>
      <c r="H30" s="11"/>
      <c r="I30" s="11">
        <v>2487</v>
      </c>
      <c r="J30" s="12" t="s">
        <v>8</v>
      </c>
      <c r="K30" s="13" t="s">
        <v>368</v>
      </c>
      <c r="L30" s="16"/>
      <c r="M30" s="17"/>
    </row>
    <row r="31" spans="1:13" ht="16.5" customHeight="1" x14ac:dyDescent="0.25">
      <c r="A31" s="9">
        <f t="shared" si="0"/>
        <v>28</v>
      </c>
      <c r="B31" s="10">
        <v>1439</v>
      </c>
      <c r="C31" s="11" t="s">
        <v>247</v>
      </c>
      <c r="D31" s="11">
        <v>4307402</v>
      </c>
      <c r="E31" s="11">
        <v>156955933</v>
      </c>
      <c r="F31" s="11">
        <v>156955933</v>
      </c>
      <c r="G31" s="11" t="s">
        <v>248</v>
      </c>
      <c r="H31" s="11"/>
      <c r="I31" s="11">
        <v>2760</v>
      </c>
      <c r="J31" s="12" t="s">
        <v>8</v>
      </c>
      <c r="K31" s="13" t="s">
        <v>368</v>
      </c>
      <c r="L31" s="16"/>
      <c r="M31" s="17"/>
    </row>
    <row r="32" spans="1:13" ht="16.5" customHeight="1" x14ac:dyDescent="0.25">
      <c r="A32" s="9">
        <f t="shared" si="0"/>
        <v>29</v>
      </c>
      <c r="B32" s="10">
        <v>1316</v>
      </c>
      <c r="C32" s="11" t="s">
        <v>230</v>
      </c>
      <c r="D32" s="11">
        <v>4203238</v>
      </c>
      <c r="E32" s="11">
        <v>155189885</v>
      </c>
      <c r="F32" s="11" t="s">
        <v>7</v>
      </c>
      <c r="G32" s="11" t="s">
        <v>231</v>
      </c>
      <c r="H32" s="11"/>
      <c r="I32" s="11">
        <v>445</v>
      </c>
      <c r="J32" s="12" t="s">
        <v>8</v>
      </c>
      <c r="K32" s="13" t="s">
        <v>368</v>
      </c>
      <c r="L32" s="16" t="s">
        <v>436</v>
      </c>
      <c r="M32" s="17"/>
    </row>
    <row r="33" spans="1:13" ht="16.5" customHeight="1" x14ac:dyDescent="0.25">
      <c r="A33" s="9">
        <f t="shared" si="0"/>
        <v>30</v>
      </c>
      <c r="B33" s="10">
        <v>8263</v>
      </c>
      <c r="C33" s="11" t="s">
        <v>287</v>
      </c>
      <c r="D33" s="11" t="s">
        <v>148</v>
      </c>
      <c r="E33" s="11" t="s">
        <v>7</v>
      </c>
      <c r="F33" s="11" t="s">
        <v>7</v>
      </c>
      <c r="G33" s="11" t="s">
        <v>15</v>
      </c>
      <c r="H33" s="11"/>
      <c r="I33" s="11">
        <v>333</v>
      </c>
      <c r="J33" s="12" t="s">
        <v>8</v>
      </c>
      <c r="K33" s="13" t="s">
        <v>368</v>
      </c>
      <c r="L33" s="16"/>
      <c r="M33" s="17"/>
    </row>
    <row r="34" spans="1:13" ht="16.5" customHeight="1" x14ac:dyDescent="0.25">
      <c r="A34" s="9">
        <f t="shared" si="0"/>
        <v>31</v>
      </c>
      <c r="B34" s="10">
        <v>811</v>
      </c>
      <c r="C34" s="11" t="s">
        <v>121</v>
      </c>
      <c r="D34" s="11">
        <v>4233155</v>
      </c>
      <c r="E34" s="11">
        <v>156293347</v>
      </c>
      <c r="F34" s="11" t="s">
        <v>7</v>
      </c>
      <c r="G34" s="11" t="s">
        <v>354</v>
      </c>
      <c r="H34" s="11"/>
      <c r="I34" s="11">
        <v>543</v>
      </c>
      <c r="J34" s="12" t="s">
        <v>8</v>
      </c>
      <c r="K34" s="13" t="s">
        <v>368</v>
      </c>
      <c r="L34" s="16" t="s">
        <v>436</v>
      </c>
      <c r="M34" s="17"/>
    </row>
    <row r="35" spans="1:13" ht="16.5" customHeight="1" x14ac:dyDescent="0.25">
      <c r="A35" s="9">
        <f t="shared" si="0"/>
        <v>32</v>
      </c>
      <c r="B35" s="10">
        <v>525</v>
      </c>
      <c r="C35" s="11" t="s">
        <v>67</v>
      </c>
      <c r="D35" s="11">
        <v>4286973</v>
      </c>
      <c r="E35" s="11" t="s">
        <v>7</v>
      </c>
      <c r="F35" s="11" t="s">
        <v>7</v>
      </c>
      <c r="G35" s="11" t="s">
        <v>343</v>
      </c>
      <c r="H35" s="11"/>
      <c r="I35" s="11">
        <v>50</v>
      </c>
      <c r="J35" s="12" t="s">
        <v>8</v>
      </c>
      <c r="K35" s="13" t="s">
        <v>368</v>
      </c>
      <c r="L35" s="16"/>
      <c r="M35" s="17"/>
    </row>
    <row r="36" spans="1:13" ht="16.5" customHeight="1" x14ac:dyDescent="0.25">
      <c r="A36" s="9">
        <f t="shared" si="0"/>
        <v>33</v>
      </c>
      <c r="B36" s="10">
        <v>8288</v>
      </c>
      <c r="C36" s="11" t="s">
        <v>320</v>
      </c>
      <c r="D36" s="11">
        <v>4252220</v>
      </c>
      <c r="E36" s="11">
        <v>155085602</v>
      </c>
      <c r="F36" s="11" t="s">
        <v>7</v>
      </c>
      <c r="G36" s="11" t="s">
        <v>345</v>
      </c>
      <c r="H36" s="11"/>
      <c r="I36" s="11">
        <v>326</v>
      </c>
      <c r="J36" s="12" t="s">
        <v>8</v>
      </c>
      <c r="K36" s="13" t="s">
        <v>368</v>
      </c>
      <c r="L36" s="16"/>
      <c r="M36" s="17"/>
    </row>
    <row r="37" spans="1:13" ht="16.5" customHeight="1" x14ac:dyDescent="0.25">
      <c r="A37" s="9">
        <f t="shared" ref="A37:A68" si="1">+A36+1</f>
        <v>34</v>
      </c>
      <c r="B37" s="10">
        <v>560</v>
      </c>
      <c r="C37" s="11" t="s">
        <v>76</v>
      </c>
      <c r="D37" s="11">
        <v>4252220</v>
      </c>
      <c r="E37" s="11" t="s">
        <v>7</v>
      </c>
      <c r="F37" s="11" t="s">
        <v>7</v>
      </c>
      <c r="G37" s="11" t="s">
        <v>345</v>
      </c>
      <c r="H37" s="11"/>
      <c r="I37" s="11">
        <v>326</v>
      </c>
      <c r="J37" s="12" t="s">
        <v>8</v>
      </c>
      <c r="K37" s="13" t="s">
        <v>368</v>
      </c>
      <c r="L37" s="16"/>
      <c r="M37" s="17"/>
    </row>
    <row r="38" spans="1:13" ht="16.5" customHeight="1" x14ac:dyDescent="0.25">
      <c r="A38" s="9">
        <f t="shared" si="1"/>
        <v>35</v>
      </c>
      <c r="B38" s="10">
        <v>947</v>
      </c>
      <c r="C38" s="11" t="s">
        <v>136</v>
      </c>
      <c r="D38" s="11">
        <v>4059023</v>
      </c>
      <c r="E38" s="11">
        <v>155252662</v>
      </c>
      <c r="F38" s="11">
        <v>155350010</v>
      </c>
      <c r="G38" s="11" t="s">
        <v>137</v>
      </c>
      <c r="H38" s="11"/>
      <c r="I38" s="11">
        <v>63</v>
      </c>
      <c r="J38" s="12" t="s">
        <v>8</v>
      </c>
      <c r="K38" s="13" t="s">
        <v>368</v>
      </c>
      <c r="L38" s="16"/>
      <c r="M38" s="17"/>
    </row>
    <row r="39" spans="1:13" ht="16.5" customHeight="1" x14ac:dyDescent="0.25">
      <c r="A39" s="9">
        <f t="shared" si="1"/>
        <v>36</v>
      </c>
      <c r="B39" s="10">
        <v>657</v>
      </c>
      <c r="C39" s="11" t="s">
        <v>96</v>
      </c>
      <c r="D39" s="11">
        <v>4240060</v>
      </c>
      <c r="E39" s="11">
        <v>155093424</v>
      </c>
      <c r="F39" s="11" t="s">
        <v>97</v>
      </c>
      <c r="G39" s="11" t="s">
        <v>98</v>
      </c>
      <c r="H39" s="11"/>
      <c r="I39" s="11">
        <v>205</v>
      </c>
      <c r="J39" s="12" t="s">
        <v>8</v>
      </c>
      <c r="K39" s="13" t="s">
        <v>368</v>
      </c>
      <c r="L39" s="16" t="s">
        <v>436</v>
      </c>
      <c r="M39" s="17"/>
    </row>
    <row r="40" spans="1:13" ht="16.5" customHeight="1" x14ac:dyDescent="0.25">
      <c r="A40" s="9">
        <f t="shared" si="1"/>
        <v>37</v>
      </c>
      <c r="B40" s="10">
        <v>693</v>
      </c>
      <c r="C40" s="53" t="s">
        <v>102</v>
      </c>
      <c r="D40" s="11">
        <v>4239243</v>
      </c>
      <c r="E40" s="11" t="s">
        <v>7</v>
      </c>
      <c r="F40" s="11" t="s">
        <v>7</v>
      </c>
      <c r="G40" s="11" t="s">
        <v>327</v>
      </c>
      <c r="H40" s="11" t="s">
        <v>351</v>
      </c>
      <c r="I40" s="11">
        <v>565</v>
      </c>
      <c r="J40" s="12" t="s">
        <v>8</v>
      </c>
      <c r="K40" s="13" t="s">
        <v>368</v>
      </c>
      <c r="L40" s="16"/>
      <c r="M40" s="17"/>
    </row>
    <row r="41" spans="1:13" ht="16.5" customHeight="1" x14ac:dyDescent="0.25">
      <c r="A41" s="9">
        <f t="shared" si="1"/>
        <v>38</v>
      </c>
      <c r="B41" s="10">
        <v>243</v>
      </c>
      <c r="C41" s="11" t="s">
        <v>25</v>
      </c>
      <c r="D41" s="11">
        <v>4232245</v>
      </c>
      <c r="E41" s="11" t="s">
        <v>7</v>
      </c>
      <c r="F41" s="11" t="s">
        <v>7</v>
      </c>
      <c r="G41" s="11" t="s">
        <v>327</v>
      </c>
      <c r="H41" s="11"/>
      <c r="I41" s="11">
        <v>2084</v>
      </c>
      <c r="J41" s="12" t="s">
        <v>8</v>
      </c>
      <c r="K41" s="13" t="s">
        <v>368</v>
      </c>
      <c r="L41" s="16"/>
      <c r="M41" s="17"/>
    </row>
    <row r="42" spans="1:13" ht="16.5" customHeight="1" x14ac:dyDescent="0.25">
      <c r="A42" s="9">
        <f t="shared" si="1"/>
        <v>39</v>
      </c>
      <c r="B42" s="10">
        <v>772</v>
      </c>
      <c r="C42" s="11" t="s">
        <v>114</v>
      </c>
      <c r="D42" s="11">
        <v>4201809</v>
      </c>
      <c r="E42" s="11" t="s">
        <v>7</v>
      </c>
      <c r="F42" s="11" t="s">
        <v>7</v>
      </c>
      <c r="G42" s="11" t="s">
        <v>337</v>
      </c>
      <c r="H42" s="11"/>
      <c r="I42" s="11">
        <v>24</v>
      </c>
      <c r="J42" s="12" t="s">
        <v>8</v>
      </c>
      <c r="K42" s="13" t="s">
        <v>368</v>
      </c>
      <c r="L42" s="16"/>
      <c r="M42" s="17"/>
    </row>
    <row r="43" spans="1:13" ht="16.5" customHeight="1" x14ac:dyDescent="0.25">
      <c r="A43" s="9">
        <f t="shared" si="1"/>
        <v>40</v>
      </c>
      <c r="B43" s="10">
        <v>498</v>
      </c>
      <c r="C43" s="11" t="s">
        <v>62</v>
      </c>
      <c r="D43" s="11">
        <v>4201958</v>
      </c>
      <c r="E43" s="11" t="s">
        <v>7</v>
      </c>
      <c r="F43" s="11" t="s">
        <v>7</v>
      </c>
      <c r="G43" s="11" t="s">
        <v>337</v>
      </c>
      <c r="H43" s="11"/>
      <c r="I43" s="11">
        <v>225</v>
      </c>
      <c r="J43" s="12" t="s">
        <v>8</v>
      </c>
      <c r="K43" s="13" t="s">
        <v>368</v>
      </c>
      <c r="L43" s="16"/>
      <c r="M43" s="17"/>
    </row>
    <row r="44" spans="1:13" ht="16.5" customHeight="1" x14ac:dyDescent="0.25">
      <c r="A44" s="9">
        <f t="shared" si="1"/>
        <v>41</v>
      </c>
      <c r="B44" s="10">
        <v>8207</v>
      </c>
      <c r="C44" s="11" t="s">
        <v>266</v>
      </c>
      <c r="D44" s="11">
        <v>4201958</v>
      </c>
      <c r="E44" s="11" t="s">
        <v>7</v>
      </c>
      <c r="F44" s="11" t="s">
        <v>7</v>
      </c>
      <c r="G44" s="11" t="s">
        <v>337</v>
      </c>
      <c r="H44" s="11"/>
      <c r="I44" s="11">
        <v>225</v>
      </c>
      <c r="J44" s="12" t="s">
        <v>8</v>
      </c>
      <c r="K44" s="13" t="s">
        <v>368</v>
      </c>
      <c r="L44" s="16"/>
      <c r="M44" s="17"/>
    </row>
    <row r="45" spans="1:13" ht="16.5" customHeight="1" x14ac:dyDescent="0.25">
      <c r="A45" s="9">
        <f t="shared" si="1"/>
        <v>42</v>
      </c>
      <c r="B45" s="10">
        <v>913</v>
      </c>
      <c r="C45" s="11" t="s">
        <v>127</v>
      </c>
      <c r="D45" s="11">
        <v>4295494</v>
      </c>
      <c r="E45" s="11">
        <v>156757355</v>
      </c>
      <c r="F45" s="11" t="s">
        <v>7</v>
      </c>
      <c r="G45" s="11" t="s">
        <v>128</v>
      </c>
      <c r="H45" s="11"/>
      <c r="I45" s="11">
        <v>569</v>
      </c>
      <c r="J45" s="12" t="s">
        <v>8</v>
      </c>
      <c r="K45" s="13" t="s">
        <v>368</v>
      </c>
      <c r="L45" s="16" t="s">
        <v>436</v>
      </c>
      <c r="M45" s="17">
        <v>578776207</v>
      </c>
    </row>
    <row r="46" spans="1:13" ht="16.5" customHeight="1" x14ac:dyDescent="0.25">
      <c r="A46" s="9">
        <f t="shared" si="1"/>
        <v>43</v>
      </c>
      <c r="B46" s="10">
        <v>1134</v>
      </c>
      <c r="C46" s="11" t="s">
        <v>185</v>
      </c>
      <c r="D46" s="11">
        <v>4295484</v>
      </c>
      <c r="E46" s="11">
        <v>155255783</v>
      </c>
      <c r="F46" s="11">
        <v>155255783</v>
      </c>
      <c r="G46" s="11" t="s">
        <v>128</v>
      </c>
      <c r="H46" s="11"/>
      <c r="I46" s="11">
        <v>569</v>
      </c>
      <c r="J46" s="12" t="s">
        <v>8</v>
      </c>
      <c r="K46" s="13" t="s">
        <v>368</v>
      </c>
      <c r="L46" s="16" t="s">
        <v>436</v>
      </c>
      <c r="M46" s="17"/>
    </row>
    <row r="47" spans="1:13" ht="16.5" customHeight="1" x14ac:dyDescent="0.25">
      <c r="A47" s="9">
        <f t="shared" si="1"/>
        <v>44</v>
      </c>
      <c r="B47" s="10">
        <v>457</v>
      </c>
      <c r="C47" s="11" t="s">
        <v>55</v>
      </c>
      <c r="D47" s="11">
        <v>4302252</v>
      </c>
      <c r="E47" s="11" t="s">
        <v>7</v>
      </c>
      <c r="F47" s="11" t="s">
        <v>7</v>
      </c>
      <c r="G47" s="11" t="s">
        <v>332</v>
      </c>
      <c r="H47" s="11"/>
      <c r="I47" s="11">
        <v>2821</v>
      </c>
      <c r="J47" s="12" t="s">
        <v>8</v>
      </c>
      <c r="K47" s="13" t="s">
        <v>368</v>
      </c>
      <c r="L47" s="16"/>
      <c r="M47" s="17"/>
    </row>
    <row r="48" spans="1:13" ht="16.5" customHeight="1" x14ac:dyDescent="0.25">
      <c r="A48" s="9">
        <f t="shared" si="1"/>
        <v>45</v>
      </c>
      <c r="B48" s="10">
        <v>606</v>
      </c>
      <c r="C48" s="11" t="s">
        <v>82</v>
      </c>
      <c r="D48" s="11">
        <v>4250254</v>
      </c>
      <c r="E48" s="11">
        <v>156669254</v>
      </c>
      <c r="F48" s="11" t="s">
        <v>7</v>
      </c>
      <c r="G48" s="11" t="s">
        <v>332</v>
      </c>
      <c r="H48" s="11"/>
      <c r="I48" s="11">
        <v>2821</v>
      </c>
      <c r="J48" s="12" t="s">
        <v>8</v>
      </c>
      <c r="K48" s="13" t="s">
        <v>368</v>
      </c>
      <c r="L48" s="16"/>
      <c r="M48" s="17"/>
    </row>
    <row r="49" spans="1:13" ht="16.5" customHeight="1" x14ac:dyDescent="0.25">
      <c r="A49" s="9">
        <f t="shared" si="1"/>
        <v>46</v>
      </c>
      <c r="B49" s="10">
        <v>569</v>
      </c>
      <c r="C49" s="11" t="s">
        <v>78</v>
      </c>
      <c r="D49" s="11">
        <v>4295049</v>
      </c>
      <c r="E49" s="11">
        <v>154152891</v>
      </c>
      <c r="F49" s="11" t="s">
        <v>7</v>
      </c>
      <c r="G49" s="11" t="s">
        <v>36</v>
      </c>
      <c r="H49" s="11"/>
      <c r="I49" s="11">
        <v>673</v>
      </c>
      <c r="J49" s="12" t="s">
        <v>8</v>
      </c>
      <c r="K49" s="13" t="s">
        <v>368</v>
      </c>
      <c r="L49" s="16" t="s">
        <v>436</v>
      </c>
      <c r="M49" s="17"/>
    </row>
    <row r="50" spans="1:13" ht="16.5" customHeight="1" x14ac:dyDescent="0.25">
      <c r="A50" s="9">
        <f t="shared" si="1"/>
        <v>47</v>
      </c>
      <c r="B50" s="10">
        <v>8278</v>
      </c>
      <c r="C50" s="11" t="s">
        <v>307</v>
      </c>
      <c r="D50" s="11">
        <v>4236030</v>
      </c>
      <c r="E50" s="11" t="s">
        <v>7</v>
      </c>
      <c r="F50" s="11" t="s">
        <v>7</v>
      </c>
      <c r="G50" s="11" t="s">
        <v>36</v>
      </c>
      <c r="H50" s="11"/>
      <c r="I50" s="11">
        <v>724</v>
      </c>
      <c r="J50" s="12" t="s">
        <v>8</v>
      </c>
      <c r="K50" s="13" t="s">
        <v>368</v>
      </c>
      <c r="L50" s="16"/>
      <c r="M50" s="17"/>
    </row>
    <row r="51" spans="1:13" ht="16.5" customHeight="1" x14ac:dyDescent="0.25">
      <c r="A51" s="9">
        <f t="shared" si="1"/>
        <v>48</v>
      </c>
      <c r="B51" s="10">
        <v>476</v>
      </c>
      <c r="C51" s="11" t="s">
        <v>58</v>
      </c>
      <c r="D51" s="11">
        <v>4236030</v>
      </c>
      <c r="E51" s="11" t="s">
        <v>7</v>
      </c>
      <c r="F51" s="11" t="s">
        <v>7</v>
      </c>
      <c r="G51" s="11" t="s">
        <v>36</v>
      </c>
      <c r="H51" s="11"/>
      <c r="I51" s="11">
        <v>724</v>
      </c>
      <c r="J51" s="12" t="s">
        <v>8</v>
      </c>
      <c r="K51" s="13" t="s">
        <v>368</v>
      </c>
      <c r="L51" s="16"/>
      <c r="M51" s="17"/>
    </row>
    <row r="52" spans="1:13" ht="16.5" customHeight="1" x14ac:dyDescent="0.25">
      <c r="A52" s="9">
        <f t="shared" si="1"/>
        <v>49</v>
      </c>
      <c r="B52" s="10">
        <v>8165</v>
      </c>
      <c r="C52" s="11" t="s">
        <v>254</v>
      </c>
      <c r="D52" s="11">
        <v>4295050</v>
      </c>
      <c r="E52" s="11">
        <v>155860260</v>
      </c>
      <c r="F52" s="11" t="s">
        <v>7</v>
      </c>
      <c r="G52" s="11" t="s">
        <v>36</v>
      </c>
      <c r="H52" s="11"/>
      <c r="I52" s="11">
        <v>1053</v>
      </c>
      <c r="J52" s="12" t="s">
        <v>8</v>
      </c>
      <c r="K52" s="13" t="s">
        <v>368</v>
      </c>
      <c r="L52" s="16"/>
      <c r="M52" s="17"/>
    </row>
    <row r="53" spans="1:13" ht="16.5" customHeight="1" x14ac:dyDescent="0.25">
      <c r="A53" s="9">
        <f t="shared" si="1"/>
        <v>50</v>
      </c>
      <c r="B53" s="10">
        <v>806</v>
      </c>
      <c r="C53" s="11" t="s">
        <v>118</v>
      </c>
      <c r="D53" s="11">
        <v>4233632</v>
      </c>
      <c r="E53" s="11" t="s">
        <v>7</v>
      </c>
      <c r="F53" s="11" t="s">
        <v>7</v>
      </c>
      <c r="G53" s="11" t="s">
        <v>36</v>
      </c>
      <c r="H53" s="11"/>
      <c r="I53" s="11">
        <v>1200</v>
      </c>
      <c r="J53" s="12" t="s">
        <v>8</v>
      </c>
      <c r="K53" s="13" t="s">
        <v>368</v>
      </c>
      <c r="L53" s="16" t="s">
        <v>436</v>
      </c>
      <c r="M53" s="17"/>
    </row>
    <row r="54" spans="1:13" ht="16.5" customHeight="1" x14ac:dyDescent="0.25">
      <c r="A54" s="9">
        <f t="shared" si="1"/>
        <v>51</v>
      </c>
      <c r="B54" s="10">
        <v>969</v>
      </c>
      <c r="C54" s="11" t="s">
        <v>141</v>
      </c>
      <c r="D54" s="11">
        <v>4254065</v>
      </c>
      <c r="E54" s="11" t="s">
        <v>7</v>
      </c>
      <c r="F54" s="11" t="s">
        <v>7</v>
      </c>
      <c r="G54" s="11" t="s">
        <v>36</v>
      </c>
      <c r="H54" s="11"/>
      <c r="I54" s="11">
        <v>1631</v>
      </c>
      <c r="J54" s="12" t="s">
        <v>8</v>
      </c>
      <c r="K54" s="13" t="s">
        <v>368</v>
      </c>
      <c r="L54" s="16"/>
      <c r="M54" s="17"/>
    </row>
    <row r="55" spans="1:13" ht="16.5" customHeight="1" x14ac:dyDescent="0.25">
      <c r="A55" s="9">
        <f t="shared" si="1"/>
        <v>52</v>
      </c>
      <c r="B55" s="10">
        <v>526</v>
      </c>
      <c r="C55" s="11" t="s">
        <v>68</v>
      </c>
      <c r="D55" s="11">
        <v>4243567</v>
      </c>
      <c r="E55" s="11" t="s">
        <v>7</v>
      </c>
      <c r="F55" s="11" t="s">
        <v>7</v>
      </c>
      <c r="G55" s="11" t="s">
        <v>206</v>
      </c>
      <c r="H55" s="11"/>
      <c r="I55" s="11">
        <v>270</v>
      </c>
      <c r="J55" s="12" t="s">
        <v>8</v>
      </c>
      <c r="K55" s="13" t="s">
        <v>368</v>
      </c>
      <c r="L55" s="16"/>
      <c r="M55" s="17"/>
    </row>
    <row r="56" spans="1:13" ht="16.5" customHeight="1" x14ac:dyDescent="0.25">
      <c r="A56" s="9">
        <f t="shared" si="1"/>
        <v>53</v>
      </c>
      <c r="B56" s="10">
        <v>8285</v>
      </c>
      <c r="C56" s="11" t="s">
        <v>316</v>
      </c>
      <c r="D56" s="11">
        <v>4236802</v>
      </c>
      <c r="E56" s="11" t="s">
        <v>7</v>
      </c>
      <c r="F56" s="11" t="s">
        <v>7</v>
      </c>
      <c r="G56" s="11" t="s">
        <v>171</v>
      </c>
      <c r="H56" s="11"/>
      <c r="I56" s="11">
        <v>171</v>
      </c>
      <c r="J56" s="12" t="s">
        <v>8</v>
      </c>
      <c r="K56" s="13" t="s">
        <v>368</v>
      </c>
      <c r="L56" s="16" t="s">
        <v>436</v>
      </c>
      <c r="M56" s="17"/>
    </row>
    <row r="57" spans="1:13" ht="16.5" customHeight="1" x14ac:dyDescent="0.25">
      <c r="A57" s="9">
        <f t="shared" si="1"/>
        <v>54</v>
      </c>
      <c r="B57" s="10">
        <v>1082</v>
      </c>
      <c r="C57" s="11" t="s">
        <v>170</v>
      </c>
      <c r="D57" s="11">
        <v>4239169</v>
      </c>
      <c r="E57" s="11">
        <v>155328249</v>
      </c>
      <c r="F57" s="11">
        <v>155394843</v>
      </c>
      <c r="G57" s="11" t="s">
        <v>171</v>
      </c>
      <c r="H57" s="11"/>
      <c r="I57" s="11">
        <v>367</v>
      </c>
      <c r="J57" s="12" t="s">
        <v>8</v>
      </c>
      <c r="K57" s="13" t="s">
        <v>368</v>
      </c>
      <c r="L57" s="16" t="s">
        <v>436</v>
      </c>
      <c r="M57" s="17"/>
    </row>
    <row r="58" spans="1:13" ht="16.5" customHeight="1" x14ac:dyDescent="0.25">
      <c r="A58" s="9">
        <f t="shared" si="1"/>
        <v>55</v>
      </c>
      <c r="B58" s="10">
        <v>421</v>
      </c>
      <c r="C58" s="11" t="s">
        <v>49</v>
      </c>
      <c r="D58" s="11">
        <v>4293243</v>
      </c>
      <c r="E58" s="11" t="s">
        <v>7</v>
      </c>
      <c r="F58" s="11" t="s">
        <v>7</v>
      </c>
      <c r="G58" s="11" t="s">
        <v>171</v>
      </c>
      <c r="H58" s="11"/>
      <c r="I58" s="11">
        <v>613</v>
      </c>
      <c r="J58" s="12" t="s">
        <v>8</v>
      </c>
      <c r="K58" s="13" t="s">
        <v>368</v>
      </c>
      <c r="L58" s="16" t="s">
        <v>436</v>
      </c>
      <c r="M58" s="17">
        <v>961684849</v>
      </c>
    </row>
    <row r="59" spans="1:13" ht="16.5" customHeight="1" x14ac:dyDescent="0.25">
      <c r="A59" s="9">
        <f t="shared" si="1"/>
        <v>56</v>
      </c>
      <c r="B59" s="10">
        <v>960</v>
      </c>
      <c r="C59" s="11" t="s">
        <v>140</v>
      </c>
      <c r="D59" s="11">
        <v>4286007</v>
      </c>
      <c r="E59" s="11" t="s">
        <v>7</v>
      </c>
      <c r="F59" s="11">
        <v>156948296</v>
      </c>
      <c r="G59" s="11" t="s">
        <v>357</v>
      </c>
      <c r="H59" s="11"/>
      <c r="I59" s="11">
        <v>686</v>
      </c>
      <c r="J59" s="12" t="s">
        <v>8</v>
      </c>
      <c r="K59" s="13" t="s">
        <v>368</v>
      </c>
      <c r="L59" s="16"/>
      <c r="M59" s="17"/>
    </row>
    <row r="60" spans="1:13" ht="16.5" customHeight="1" x14ac:dyDescent="0.25">
      <c r="A60" s="9">
        <f t="shared" si="1"/>
        <v>57</v>
      </c>
      <c r="B60" s="10">
        <v>8286</v>
      </c>
      <c r="C60" s="11" t="s">
        <v>317</v>
      </c>
      <c r="D60" s="11">
        <v>4295857</v>
      </c>
      <c r="E60" s="11">
        <v>154711699</v>
      </c>
      <c r="F60" s="11" t="s">
        <v>7</v>
      </c>
      <c r="G60" s="11" t="s">
        <v>318</v>
      </c>
      <c r="H60" s="11"/>
      <c r="I60" s="11">
        <v>1033</v>
      </c>
      <c r="J60" s="12" t="s">
        <v>8</v>
      </c>
      <c r="K60" s="13" t="s">
        <v>368</v>
      </c>
      <c r="L60" s="16"/>
      <c r="M60" s="17"/>
    </row>
    <row r="61" spans="1:13" ht="16.5" customHeight="1" x14ac:dyDescent="0.25">
      <c r="A61" s="9">
        <f t="shared" si="1"/>
        <v>58</v>
      </c>
      <c r="B61" s="10">
        <v>254</v>
      </c>
      <c r="C61" s="11" t="s">
        <v>28</v>
      </c>
      <c r="D61" s="11">
        <v>4256248</v>
      </c>
      <c r="E61" s="11" t="s">
        <v>7</v>
      </c>
      <c r="F61" s="11" t="s">
        <v>7</v>
      </c>
      <c r="G61" s="11" t="s">
        <v>318</v>
      </c>
      <c r="H61" s="11"/>
      <c r="I61" s="11">
        <v>1354</v>
      </c>
      <c r="J61" s="12" t="s">
        <v>8</v>
      </c>
      <c r="K61" s="13" t="s">
        <v>368</v>
      </c>
      <c r="L61" s="16"/>
      <c r="M61" s="17"/>
    </row>
    <row r="62" spans="1:13" ht="16.5" customHeight="1" x14ac:dyDescent="0.25">
      <c r="A62" s="9">
        <f t="shared" si="1"/>
        <v>59</v>
      </c>
      <c r="B62" s="10">
        <v>223</v>
      </c>
      <c r="C62" s="11" t="s">
        <v>22</v>
      </c>
      <c r="D62" s="11">
        <v>4256248</v>
      </c>
      <c r="E62" s="11" t="s">
        <v>7</v>
      </c>
      <c r="F62" s="11" t="s">
        <v>7</v>
      </c>
      <c r="G62" s="11" t="s">
        <v>318</v>
      </c>
      <c r="H62" s="11"/>
      <c r="I62" s="11">
        <v>1356</v>
      </c>
      <c r="J62" s="12" t="s">
        <v>8</v>
      </c>
      <c r="K62" s="13" t="s">
        <v>368</v>
      </c>
      <c r="L62" s="16"/>
      <c r="M62" s="17"/>
    </row>
    <row r="63" spans="1:13" ht="16.5" customHeight="1" x14ac:dyDescent="0.25">
      <c r="A63" s="9">
        <f t="shared" si="1"/>
        <v>60</v>
      </c>
      <c r="B63" s="10">
        <v>1231</v>
      </c>
      <c r="C63" s="11" t="s">
        <v>207</v>
      </c>
      <c r="D63" s="11">
        <v>4296212</v>
      </c>
      <c r="E63" s="11">
        <v>155262656</v>
      </c>
      <c r="F63" s="11">
        <v>155262656</v>
      </c>
      <c r="G63" s="11" t="s">
        <v>52</v>
      </c>
      <c r="H63" s="11"/>
      <c r="I63" s="11">
        <v>412</v>
      </c>
      <c r="J63" s="12" t="s">
        <v>8</v>
      </c>
      <c r="K63" s="13" t="s">
        <v>368</v>
      </c>
      <c r="L63" s="16"/>
      <c r="M63" s="17"/>
    </row>
    <row r="64" spans="1:13" ht="16.5" customHeight="1" x14ac:dyDescent="0.25">
      <c r="A64" s="9">
        <f t="shared" si="1"/>
        <v>61</v>
      </c>
      <c r="B64" s="10">
        <v>1235</v>
      </c>
      <c r="C64" s="11" t="s">
        <v>208</v>
      </c>
      <c r="D64" s="11">
        <v>4296212</v>
      </c>
      <c r="E64" s="11" t="s">
        <v>7</v>
      </c>
      <c r="F64" s="11">
        <v>155343183</v>
      </c>
      <c r="G64" s="11" t="s">
        <v>52</v>
      </c>
      <c r="H64" s="11"/>
      <c r="I64" s="11">
        <v>412</v>
      </c>
      <c r="J64" s="12" t="s">
        <v>8</v>
      </c>
      <c r="K64" s="13" t="s">
        <v>368</v>
      </c>
      <c r="L64" s="16"/>
      <c r="M64" s="17"/>
    </row>
    <row r="65" spans="1:13" ht="16.5" customHeight="1" x14ac:dyDescent="0.25">
      <c r="A65" s="9">
        <f t="shared" si="1"/>
        <v>62</v>
      </c>
      <c r="B65" s="10">
        <v>429</v>
      </c>
      <c r="C65" s="11" t="s">
        <v>51</v>
      </c>
      <c r="D65" s="11">
        <v>4297834</v>
      </c>
      <c r="E65" s="11">
        <v>155072188</v>
      </c>
      <c r="F65" s="11" t="s">
        <v>7</v>
      </c>
      <c r="G65" s="11" t="s">
        <v>52</v>
      </c>
      <c r="H65" s="11"/>
      <c r="I65" s="11">
        <v>440</v>
      </c>
      <c r="J65" s="12" t="s">
        <v>8</v>
      </c>
      <c r="K65" s="13" t="s">
        <v>368</v>
      </c>
      <c r="L65" s="16"/>
      <c r="M65" s="17"/>
    </row>
    <row r="66" spans="1:13" ht="16.5" customHeight="1" x14ac:dyDescent="0.25">
      <c r="A66" s="9">
        <f t="shared" si="1"/>
        <v>63</v>
      </c>
      <c r="B66" s="10">
        <v>721</v>
      </c>
      <c r="C66" s="11" t="s">
        <v>108</v>
      </c>
      <c r="D66" s="11">
        <v>4253529</v>
      </c>
      <c r="E66" s="11">
        <v>156602734</v>
      </c>
      <c r="F66" s="11" t="s">
        <v>7</v>
      </c>
      <c r="G66" s="11" t="s">
        <v>241</v>
      </c>
      <c r="H66" s="11"/>
      <c r="I66" s="11">
        <v>1070</v>
      </c>
      <c r="J66" s="12" t="s">
        <v>8</v>
      </c>
      <c r="K66" s="13" t="s">
        <v>368</v>
      </c>
      <c r="L66" s="16"/>
      <c r="M66" s="17"/>
    </row>
    <row r="67" spans="1:13" ht="16.5" customHeight="1" x14ac:dyDescent="0.25">
      <c r="A67" s="9">
        <f t="shared" si="1"/>
        <v>64</v>
      </c>
      <c r="B67" s="10">
        <v>125</v>
      </c>
      <c r="C67" s="11" t="s">
        <v>11</v>
      </c>
      <c r="D67" s="11">
        <v>4253529</v>
      </c>
      <c r="E67" s="11" t="s">
        <v>7</v>
      </c>
      <c r="F67" s="11" t="s">
        <v>7</v>
      </c>
      <c r="G67" s="11" t="s">
        <v>241</v>
      </c>
      <c r="H67" s="11"/>
      <c r="I67" s="11">
        <v>1070</v>
      </c>
      <c r="J67" s="12" t="s">
        <v>8</v>
      </c>
      <c r="K67" s="13" t="s">
        <v>368</v>
      </c>
      <c r="L67" s="16"/>
      <c r="M67" s="17"/>
    </row>
    <row r="68" spans="1:13" ht="16.5" customHeight="1" x14ac:dyDescent="0.25">
      <c r="A68" s="9">
        <f t="shared" si="1"/>
        <v>65</v>
      </c>
      <c r="B68" s="10">
        <v>1376</v>
      </c>
      <c r="C68" s="11" t="s">
        <v>240</v>
      </c>
      <c r="D68" s="11">
        <v>4258544</v>
      </c>
      <c r="E68" s="11">
        <v>156336138</v>
      </c>
      <c r="F68" s="11">
        <v>156336138</v>
      </c>
      <c r="G68" s="11" t="s">
        <v>241</v>
      </c>
      <c r="H68" s="11"/>
      <c r="I68" s="11">
        <v>2878</v>
      </c>
      <c r="J68" s="12" t="s">
        <v>8</v>
      </c>
      <c r="K68" s="13" t="s">
        <v>368</v>
      </c>
      <c r="L68" s="16"/>
      <c r="M68" s="17"/>
    </row>
    <row r="69" spans="1:13" ht="16.5" customHeight="1" x14ac:dyDescent="0.25">
      <c r="A69" s="9">
        <f t="shared" ref="A69:A100" si="2">+A68+1</f>
        <v>66</v>
      </c>
      <c r="B69" s="10">
        <v>8277</v>
      </c>
      <c r="C69" s="11" t="s">
        <v>306</v>
      </c>
      <c r="D69" s="11">
        <v>4290894</v>
      </c>
      <c r="E69" s="11" t="s">
        <v>7</v>
      </c>
      <c r="F69" s="11" t="s">
        <v>7</v>
      </c>
      <c r="G69" s="11" t="s">
        <v>278</v>
      </c>
      <c r="H69" s="11"/>
      <c r="I69" s="11">
        <v>378</v>
      </c>
      <c r="J69" s="12" t="s">
        <v>8</v>
      </c>
      <c r="K69" s="13" t="s">
        <v>368</v>
      </c>
      <c r="L69" s="16" t="s">
        <v>436</v>
      </c>
      <c r="M69" s="17"/>
    </row>
    <row r="70" spans="1:13" ht="16.5" customHeight="1" x14ac:dyDescent="0.25">
      <c r="A70" s="9">
        <f t="shared" si="2"/>
        <v>67</v>
      </c>
      <c r="B70" s="10">
        <v>793</v>
      </c>
      <c r="C70" s="11" t="s">
        <v>115</v>
      </c>
      <c r="D70" s="11">
        <v>4290894</v>
      </c>
      <c r="E70" s="11">
        <v>155089980</v>
      </c>
      <c r="F70" s="11" t="s">
        <v>7</v>
      </c>
      <c r="G70" s="11" t="s">
        <v>278</v>
      </c>
      <c r="H70" s="11"/>
      <c r="I70" s="11">
        <v>378</v>
      </c>
      <c r="J70" s="12" t="s">
        <v>8</v>
      </c>
      <c r="K70" s="13" t="s">
        <v>368</v>
      </c>
      <c r="L70" s="16" t="s">
        <v>436</v>
      </c>
      <c r="M70" s="17"/>
    </row>
    <row r="71" spans="1:13" ht="16.5" customHeight="1" x14ac:dyDescent="0.25">
      <c r="A71" s="9">
        <f t="shared" si="2"/>
        <v>68</v>
      </c>
      <c r="B71" s="10">
        <v>8256</v>
      </c>
      <c r="C71" s="11" t="s">
        <v>277</v>
      </c>
      <c r="D71" s="11">
        <v>4299502</v>
      </c>
      <c r="E71" s="11" t="s">
        <v>7</v>
      </c>
      <c r="F71" s="11" t="s">
        <v>7</v>
      </c>
      <c r="G71" s="11" t="s">
        <v>278</v>
      </c>
      <c r="H71" s="11"/>
      <c r="I71" s="11">
        <v>476</v>
      </c>
      <c r="J71" s="12" t="s">
        <v>8</v>
      </c>
      <c r="K71" s="13" t="s">
        <v>368</v>
      </c>
      <c r="L71" s="16"/>
      <c r="M71" s="17"/>
    </row>
    <row r="72" spans="1:13" ht="16.5" customHeight="1" x14ac:dyDescent="0.25">
      <c r="A72" s="9">
        <f t="shared" si="2"/>
        <v>69</v>
      </c>
      <c r="B72" s="10">
        <v>265</v>
      </c>
      <c r="C72" s="11" t="s">
        <v>30</v>
      </c>
      <c r="D72" s="11">
        <v>4236345</v>
      </c>
      <c r="E72" s="11" t="s">
        <v>7</v>
      </c>
      <c r="F72" s="11" t="s">
        <v>7</v>
      </c>
      <c r="G72" s="11" t="s">
        <v>278</v>
      </c>
      <c r="H72" s="11"/>
      <c r="I72" s="11">
        <v>476</v>
      </c>
      <c r="J72" s="12" t="s">
        <v>8</v>
      </c>
      <c r="K72" s="13" t="s">
        <v>368</v>
      </c>
      <c r="L72" s="16"/>
      <c r="M72" s="17"/>
    </row>
    <row r="73" spans="1:13" ht="16.5" customHeight="1" x14ac:dyDescent="0.25">
      <c r="A73" s="9">
        <f t="shared" si="2"/>
        <v>70</v>
      </c>
      <c r="B73" s="10">
        <v>631</v>
      </c>
      <c r="C73" s="11" t="s">
        <v>89</v>
      </c>
      <c r="D73" s="11">
        <v>4307553</v>
      </c>
      <c r="E73" s="11">
        <v>153049626</v>
      </c>
      <c r="F73" s="11" t="s">
        <v>7</v>
      </c>
      <c r="G73" s="11" t="s">
        <v>278</v>
      </c>
      <c r="H73" s="11" t="s">
        <v>384</v>
      </c>
      <c r="I73" s="11">
        <v>530</v>
      </c>
      <c r="J73" s="12" t="s">
        <v>8</v>
      </c>
      <c r="K73" s="13" t="s">
        <v>368</v>
      </c>
      <c r="L73" s="16"/>
      <c r="M73" s="17"/>
    </row>
    <row r="74" spans="1:13" ht="16.5" customHeight="1" x14ac:dyDescent="0.25">
      <c r="A74" s="9">
        <f t="shared" si="2"/>
        <v>71</v>
      </c>
      <c r="B74" s="10">
        <v>557</v>
      </c>
      <c r="C74" s="11" t="s">
        <v>74</v>
      </c>
      <c r="D74" s="11">
        <v>4233084</v>
      </c>
      <c r="E74" s="11" t="s">
        <v>7</v>
      </c>
      <c r="F74" s="11" t="s">
        <v>7</v>
      </c>
      <c r="G74" s="11" t="s">
        <v>298</v>
      </c>
      <c r="H74" s="11" t="s">
        <v>344</v>
      </c>
      <c r="I74" s="11">
        <v>177</v>
      </c>
      <c r="J74" s="12" t="s">
        <v>8</v>
      </c>
      <c r="K74" s="13" t="s">
        <v>368</v>
      </c>
      <c r="L74" s="16"/>
      <c r="M74" s="17"/>
    </row>
    <row r="75" spans="1:13" ht="16.5" customHeight="1" x14ac:dyDescent="0.25">
      <c r="A75" s="9">
        <f t="shared" si="2"/>
        <v>72</v>
      </c>
      <c r="B75" s="10">
        <v>575</v>
      </c>
      <c r="C75" s="11" t="s">
        <v>80</v>
      </c>
      <c r="D75" s="11">
        <v>4233084</v>
      </c>
      <c r="E75" s="11">
        <v>156504553</v>
      </c>
      <c r="F75" s="11" t="s">
        <v>7</v>
      </c>
      <c r="G75" s="11" t="s">
        <v>298</v>
      </c>
      <c r="H75" s="11" t="s">
        <v>344</v>
      </c>
      <c r="I75" s="11">
        <v>183</v>
      </c>
      <c r="J75" s="12" t="s">
        <v>8</v>
      </c>
      <c r="K75" s="13" t="s">
        <v>368</v>
      </c>
      <c r="L75" s="16"/>
      <c r="M75" s="17"/>
    </row>
    <row r="76" spans="1:13" ht="16.5" customHeight="1" x14ac:dyDescent="0.25">
      <c r="A76" s="9">
        <f t="shared" si="2"/>
        <v>73</v>
      </c>
      <c r="B76" s="10">
        <v>8271</v>
      </c>
      <c r="C76" s="11" t="s">
        <v>297</v>
      </c>
      <c r="D76" s="11">
        <v>4233084</v>
      </c>
      <c r="E76" s="11" t="s">
        <v>7</v>
      </c>
      <c r="F76" s="11" t="s">
        <v>7</v>
      </c>
      <c r="G76" s="11" t="s">
        <v>298</v>
      </c>
      <c r="H76" s="11"/>
      <c r="I76" s="11">
        <v>183</v>
      </c>
      <c r="J76" s="12" t="s">
        <v>8</v>
      </c>
      <c r="K76" s="13" t="s">
        <v>368</v>
      </c>
      <c r="L76" s="16"/>
      <c r="M76" s="17"/>
    </row>
    <row r="77" spans="1:13" ht="16.5" customHeight="1" x14ac:dyDescent="0.25">
      <c r="A77" s="9">
        <f t="shared" si="2"/>
        <v>74</v>
      </c>
      <c r="B77" s="10">
        <v>221</v>
      </c>
      <c r="C77" s="11" t="s">
        <v>21</v>
      </c>
      <c r="D77" s="11">
        <v>4241501</v>
      </c>
      <c r="E77" s="11">
        <v>154177447</v>
      </c>
      <c r="F77" s="11" t="s">
        <v>7</v>
      </c>
      <c r="G77" s="11" t="s">
        <v>14</v>
      </c>
      <c r="H77" s="11"/>
      <c r="I77" s="11">
        <v>92</v>
      </c>
      <c r="J77" s="12" t="s">
        <v>8</v>
      </c>
      <c r="K77" s="13" t="s">
        <v>368</v>
      </c>
      <c r="L77" s="16"/>
      <c r="M77" s="17"/>
    </row>
    <row r="78" spans="1:13" ht="16.5" customHeight="1" x14ac:dyDescent="0.25">
      <c r="A78" s="9">
        <f t="shared" si="2"/>
        <v>75</v>
      </c>
      <c r="B78" s="10">
        <v>8178</v>
      </c>
      <c r="C78" s="11" t="s">
        <v>263</v>
      </c>
      <c r="D78" s="11" t="s">
        <v>148</v>
      </c>
      <c r="E78" s="11" t="s">
        <v>7</v>
      </c>
      <c r="F78" s="11" t="s">
        <v>7</v>
      </c>
      <c r="G78" s="11" t="s">
        <v>14</v>
      </c>
      <c r="H78" s="11"/>
      <c r="I78" s="11">
        <v>677</v>
      </c>
      <c r="J78" s="12" t="s">
        <v>8</v>
      </c>
      <c r="K78" s="13" t="s">
        <v>368</v>
      </c>
      <c r="L78" s="16"/>
      <c r="M78" s="17"/>
    </row>
    <row r="79" spans="1:13" ht="16.5" customHeight="1" x14ac:dyDescent="0.25">
      <c r="A79" s="9">
        <f t="shared" si="2"/>
        <v>76</v>
      </c>
      <c r="B79" s="10">
        <v>355</v>
      </c>
      <c r="C79" s="11" t="s">
        <v>40</v>
      </c>
      <c r="D79" s="11">
        <v>4204491</v>
      </c>
      <c r="E79" s="11">
        <v>155359991</v>
      </c>
      <c r="F79" s="11" t="s">
        <v>7</v>
      </c>
      <c r="G79" s="11" t="s">
        <v>14</v>
      </c>
      <c r="H79" s="11"/>
      <c r="I79" s="11">
        <v>1010</v>
      </c>
      <c r="J79" s="12" t="s">
        <v>8</v>
      </c>
      <c r="K79" s="13" t="s">
        <v>368</v>
      </c>
      <c r="L79" s="16"/>
      <c r="M79" s="17"/>
    </row>
    <row r="80" spans="1:13" ht="16.5" customHeight="1" x14ac:dyDescent="0.25">
      <c r="A80" s="9">
        <f t="shared" si="2"/>
        <v>77</v>
      </c>
      <c r="B80" s="10">
        <v>1092</v>
      </c>
      <c r="C80" s="11" t="s">
        <v>173</v>
      </c>
      <c r="D80" s="11">
        <v>4306698</v>
      </c>
      <c r="E80" s="11" t="s">
        <v>7</v>
      </c>
      <c r="F80" s="11" t="s">
        <v>7</v>
      </c>
      <c r="G80" s="11" t="s">
        <v>14</v>
      </c>
      <c r="H80" s="11"/>
      <c r="I80" s="11">
        <v>3534</v>
      </c>
      <c r="J80" s="12" t="s">
        <v>8</v>
      </c>
      <c r="K80" s="13" t="s">
        <v>368</v>
      </c>
      <c r="L80" s="16"/>
      <c r="M80" s="17"/>
    </row>
    <row r="81" spans="1:13" ht="16.5" customHeight="1" x14ac:dyDescent="0.25">
      <c r="A81" s="9">
        <f t="shared" si="2"/>
        <v>78</v>
      </c>
      <c r="B81" s="10">
        <v>8266</v>
      </c>
      <c r="C81" s="11" t="s">
        <v>290</v>
      </c>
      <c r="D81" s="11">
        <v>4241501</v>
      </c>
      <c r="E81" s="11" t="s">
        <v>7</v>
      </c>
      <c r="F81" s="11" t="s">
        <v>7</v>
      </c>
      <c r="G81" s="11" t="s">
        <v>100</v>
      </c>
      <c r="H81" s="11"/>
      <c r="I81" s="11">
        <v>92</v>
      </c>
      <c r="J81" s="12" t="s">
        <v>8</v>
      </c>
      <c r="K81" s="13" t="s">
        <v>368</v>
      </c>
      <c r="L81" s="16"/>
      <c r="M81" s="17"/>
    </row>
    <row r="82" spans="1:13" ht="16.5" customHeight="1" x14ac:dyDescent="0.25">
      <c r="A82" s="9">
        <f t="shared" si="2"/>
        <v>79</v>
      </c>
      <c r="B82" s="10">
        <v>450</v>
      </c>
      <c r="C82" s="11" t="s">
        <v>54</v>
      </c>
      <c r="D82" s="11">
        <v>4252242</v>
      </c>
      <c r="E82" s="11" t="s">
        <v>7</v>
      </c>
      <c r="F82" s="11" t="s">
        <v>7</v>
      </c>
      <c r="G82" s="11" t="s">
        <v>331</v>
      </c>
      <c r="H82" s="11"/>
      <c r="I82" s="11">
        <v>282</v>
      </c>
      <c r="J82" s="12" t="s">
        <v>8</v>
      </c>
      <c r="K82" s="13" t="s">
        <v>368</v>
      </c>
      <c r="L82" s="16"/>
      <c r="M82" s="17"/>
    </row>
    <row r="83" spans="1:13" ht="16.5" customHeight="1" x14ac:dyDescent="0.25">
      <c r="A83" s="9">
        <f t="shared" si="2"/>
        <v>80</v>
      </c>
      <c r="B83" s="10">
        <v>1007</v>
      </c>
      <c r="C83" s="11" t="s">
        <v>145</v>
      </c>
      <c r="D83" s="11">
        <v>4295857</v>
      </c>
      <c r="E83" s="11">
        <v>154711699</v>
      </c>
      <c r="F83" s="11" t="s">
        <v>7</v>
      </c>
      <c r="G83" s="11" t="s">
        <v>318</v>
      </c>
      <c r="H83" s="11"/>
      <c r="I83" s="11">
        <v>1033</v>
      </c>
      <c r="J83" s="12" t="s">
        <v>146</v>
      </c>
      <c r="K83" s="13" t="s">
        <v>368</v>
      </c>
      <c r="L83" s="16"/>
      <c r="M83" s="17"/>
    </row>
    <row r="84" spans="1:13" ht="16.5" customHeight="1" x14ac:dyDescent="0.25">
      <c r="A84" s="9">
        <f t="shared" si="2"/>
        <v>81</v>
      </c>
      <c r="B84" s="10">
        <v>574</v>
      </c>
      <c r="C84" s="11" t="s">
        <v>79</v>
      </c>
      <c r="D84" s="11">
        <v>4222303</v>
      </c>
      <c r="E84" s="11" t="s">
        <v>7</v>
      </c>
      <c r="F84" s="11" t="s">
        <v>7</v>
      </c>
      <c r="G84" s="11" t="s">
        <v>347</v>
      </c>
      <c r="H84" s="11"/>
      <c r="I84" s="11">
        <v>378</v>
      </c>
      <c r="J84" s="12" t="s">
        <v>15</v>
      </c>
      <c r="K84" s="13" t="s">
        <v>368</v>
      </c>
      <c r="L84" s="16" t="s">
        <v>436</v>
      </c>
      <c r="M84" s="17"/>
    </row>
    <row r="85" spans="1:13" ht="16.5" customHeight="1" x14ac:dyDescent="0.25">
      <c r="A85" s="9">
        <f t="shared" si="2"/>
        <v>82</v>
      </c>
      <c r="B85" s="10">
        <v>8259</v>
      </c>
      <c r="C85" s="11" t="s">
        <v>280</v>
      </c>
      <c r="D85" s="11">
        <v>4221860</v>
      </c>
      <c r="E85" s="11" t="s">
        <v>7</v>
      </c>
      <c r="F85" s="11" t="s">
        <v>7</v>
      </c>
      <c r="G85" s="11" t="s">
        <v>281</v>
      </c>
      <c r="H85" s="11"/>
      <c r="I85" s="11">
        <v>91</v>
      </c>
      <c r="J85" s="12" t="s">
        <v>15</v>
      </c>
      <c r="K85" s="13" t="s">
        <v>368</v>
      </c>
      <c r="L85" s="16"/>
      <c r="M85" s="17">
        <v>949367904</v>
      </c>
    </row>
    <row r="86" spans="1:13" ht="16.5" customHeight="1" x14ac:dyDescent="0.25">
      <c r="A86" s="9">
        <f t="shared" si="2"/>
        <v>83</v>
      </c>
      <c r="B86" s="10">
        <v>695</v>
      </c>
      <c r="C86" s="11" t="s">
        <v>103</v>
      </c>
      <c r="D86" s="11">
        <v>4352458</v>
      </c>
      <c r="E86" s="11" t="s">
        <v>7</v>
      </c>
      <c r="F86" s="11" t="s">
        <v>7</v>
      </c>
      <c r="G86" s="11" t="s">
        <v>352</v>
      </c>
      <c r="H86" s="11"/>
      <c r="I86" s="11">
        <v>130</v>
      </c>
      <c r="J86" s="12" t="s">
        <v>15</v>
      </c>
      <c r="K86" s="13" t="s">
        <v>368</v>
      </c>
      <c r="L86" s="16"/>
      <c r="M86" s="17"/>
    </row>
    <row r="87" spans="1:13" ht="16.5" customHeight="1" x14ac:dyDescent="0.25">
      <c r="A87" s="9">
        <f t="shared" si="2"/>
        <v>84</v>
      </c>
      <c r="B87" s="10">
        <v>404</v>
      </c>
      <c r="C87" s="11" t="s">
        <v>47</v>
      </c>
      <c r="D87" s="11">
        <v>4271482</v>
      </c>
      <c r="E87" s="11" t="s">
        <v>7</v>
      </c>
      <c r="F87" s="11" t="s">
        <v>7</v>
      </c>
      <c r="G87" s="11" t="s">
        <v>330</v>
      </c>
      <c r="H87" s="11"/>
      <c r="I87" s="11">
        <v>2631</v>
      </c>
      <c r="J87" s="12" t="s">
        <v>15</v>
      </c>
      <c r="K87" s="13" t="s">
        <v>368</v>
      </c>
      <c r="L87" s="16"/>
      <c r="M87" s="17"/>
    </row>
    <row r="88" spans="1:13" ht="16.5" customHeight="1" x14ac:dyDescent="0.25">
      <c r="A88" s="9">
        <f t="shared" si="2"/>
        <v>85</v>
      </c>
      <c r="B88" s="10">
        <v>1137</v>
      </c>
      <c r="C88" s="11" t="s">
        <v>186</v>
      </c>
      <c r="D88" s="11">
        <v>4243649</v>
      </c>
      <c r="E88" s="11" t="s">
        <v>187</v>
      </c>
      <c r="F88" s="11">
        <v>156148887</v>
      </c>
      <c r="G88" s="11" t="s">
        <v>169</v>
      </c>
      <c r="H88" s="11"/>
      <c r="I88" s="11">
        <v>219</v>
      </c>
      <c r="J88" s="12" t="s">
        <v>15</v>
      </c>
      <c r="K88" s="13" t="s">
        <v>368</v>
      </c>
      <c r="L88" s="16"/>
      <c r="M88" s="17"/>
    </row>
    <row r="89" spans="1:13" ht="16.5" customHeight="1" x14ac:dyDescent="0.25">
      <c r="A89" s="9">
        <f t="shared" si="2"/>
        <v>86</v>
      </c>
      <c r="B89" s="10">
        <v>715</v>
      </c>
      <c r="C89" s="11" t="s">
        <v>105</v>
      </c>
      <c r="D89" s="11">
        <v>4240084</v>
      </c>
      <c r="E89" s="11">
        <v>156819574</v>
      </c>
      <c r="F89" s="11" t="s">
        <v>106</v>
      </c>
      <c r="G89" s="11" t="s">
        <v>107</v>
      </c>
      <c r="H89" s="11"/>
      <c r="I89" s="11">
        <v>78</v>
      </c>
      <c r="J89" s="12" t="s">
        <v>15</v>
      </c>
      <c r="K89" s="13" t="s">
        <v>368</v>
      </c>
      <c r="L89" s="16"/>
      <c r="M89" s="17"/>
    </row>
    <row r="90" spans="1:13" ht="16.5" customHeight="1" x14ac:dyDescent="0.25">
      <c r="A90" s="9">
        <f t="shared" si="2"/>
        <v>87</v>
      </c>
      <c r="B90" s="10">
        <v>709</v>
      </c>
      <c r="C90" s="11" t="s">
        <v>104</v>
      </c>
      <c r="D90" s="11">
        <v>4397353</v>
      </c>
      <c r="E90" s="11" t="s">
        <v>7</v>
      </c>
      <c r="F90" s="11" t="s">
        <v>7</v>
      </c>
      <c r="G90" s="11" t="s">
        <v>356</v>
      </c>
      <c r="H90" s="11"/>
      <c r="I90" s="11">
        <v>1623</v>
      </c>
      <c r="J90" s="12" t="s">
        <v>15</v>
      </c>
      <c r="K90" s="13" t="s">
        <v>368</v>
      </c>
      <c r="L90" s="16" t="s">
        <v>436</v>
      </c>
      <c r="M90" s="17"/>
    </row>
    <row r="91" spans="1:13" ht="16.5" customHeight="1" x14ac:dyDescent="0.25">
      <c r="A91" s="9">
        <f t="shared" si="2"/>
        <v>88</v>
      </c>
      <c r="B91" s="10">
        <v>958</v>
      </c>
      <c r="C91" s="11" t="s">
        <v>139</v>
      </c>
      <c r="D91" s="11">
        <v>4397327</v>
      </c>
      <c r="E91" s="11" t="s">
        <v>7</v>
      </c>
      <c r="F91" s="11" t="s">
        <v>7</v>
      </c>
      <c r="G91" s="11" t="s">
        <v>356</v>
      </c>
      <c r="H91" s="11"/>
      <c r="I91" s="11">
        <v>1835</v>
      </c>
      <c r="J91" s="12" t="s">
        <v>15</v>
      </c>
      <c r="K91" s="13" t="s">
        <v>368</v>
      </c>
      <c r="L91" s="16"/>
      <c r="M91" s="17"/>
    </row>
    <row r="92" spans="1:13" ht="16.5" customHeight="1" x14ac:dyDescent="0.25">
      <c r="A92" s="9">
        <f t="shared" si="2"/>
        <v>89</v>
      </c>
      <c r="B92" s="10">
        <v>8281</v>
      </c>
      <c r="C92" s="11" t="s">
        <v>310</v>
      </c>
      <c r="D92" s="11">
        <v>4397353</v>
      </c>
      <c r="E92" s="11" t="s">
        <v>7</v>
      </c>
      <c r="F92" s="11" t="s">
        <v>7</v>
      </c>
      <c r="G92" s="11" t="s">
        <v>311</v>
      </c>
      <c r="H92" s="11"/>
      <c r="I92" s="11">
        <v>1601</v>
      </c>
      <c r="J92" s="12" t="s">
        <v>15</v>
      </c>
      <c r="K92" s="13" t="s">
        <v>368</v>
      </c>
      <c r="L92" s="16" t="s">
        <v>436</v>
      </c>
      <c r="M92" s="17"/>
    </row>
    <row r="93" spans="1:13" ht="16.5" customHeight="1" x14ac:dyDescent="0.25">
      <c r="A93" s="9">
        <f t="shared" si="2"/>
        <v>90</v>
      </c>
      <c r="B93" s="10">
        <v>8171</v>
      </c>
      <c r="C93" s="11" t="s">
        <v>257</v>
      </c>
      <c r="D93" s="11">
        <v>4243157</v>
      </c>
      <c r="E93" s="11" t="s">
        <v>7</v>
      </c>
      <c r="F93" s="11" t="s">
        <v>7</v>
      </c>
      <c r="G93" s="11" t="s">
        <v>258</v>
      </c>
      <c r="H93" s="11"/>
      <c r="I93" s="11">
        <v>71</v>
      </c>
      <c r="J93" s="12" t="s">
        <v>15</v>
      </c>
      <c r="K93" s="13" t="s">
        <v>368</v>
      </c>
      <c r="L93" s="16"/>
      <c r="M93" s="17">
        <v>925163339</v>
      </c>
    </row>
    <row r="94" spans="1:13" ht="16.5" customHeight="1" x14ac:dyDescent="0.25">
      <c r="A94" s="9">
        <f t="shared" si="2"/>
        <v>91</v>
      </c>
      <c r="B94" s="10">
        <v>1345</v>
      </c>
      <c r="C94" s="11" t="s">
        <v>234</v>
      </c>
      <c r="D94" s="11">
        <v>4271163</v>
      </c>
      <c r="E94" s="11">
        <v>153677555</v>
      </c>
      <c r="F94" s="11">
        <v>153677555</v>
      </c>
      <c r="G94" s="11" t="s">
        <v>235</v>
      </c>
      <c r="H94" s="11"/>
      <c r="I94" s="11">
        <v>1283</v>
      </c>
      <c r="J94" s="12" t="s">
        <v>15</v>
      </c>
      <c r="K94" s="13" t="s">
        <v>368</v>
      </c>
      <c r="L94" s="16"/>
      <c r="M94" s="17"/>
    </row>
    <row r="95" spans="1:13" ht="16.5" customHeight="1" x14ac:dyDescent="0.25">
      <c r="A95" s="9">
        <f t="shared" si="2"/>
        <v>92</v>
      </c>
      <c r="B95" s="10">
        <v>387</v>
      </c>
      <c r="C95" s="11" t="s">
        <v>44</v>
      </c>
      <c r="D95" s="11">
        <v>4220461</v>
      </c>
      <c r="E95" s="11">
        <v>155745181</v>
      </c>
      <c r="F95" s="11" t="s">
        <v>7</v>
      </c>
      <c r="G95" s="11" t="s">
        <v>45</v>
      </c>
      <c r="H95" s="11"/>
      <c r="I95" s="11">
        <v>121</v>
      </c>
      <c r="J95" s="12" t="s">
        <v>15</v>
      </c>
      <c r="K95" s="13" t="s">
        <v>368</v>
      </c>
      <c r="L95" s="16"/>
      <c r="M95" s="17">
        <v>949236423</v>
      </c>
    </row>
    <row r="96" spans="1:13" ht="16.5" customHeight="1" x14ac:dyDescent="0.25">
      <c r="A96" s="9">
        <f t="shared" si="2"/>
        <v>93</v>
      </c>
      <c r="B96" s="10">
        <v>1126</v>
      </c>
      <c r="C96" s="11" t="s">
        <v>182</v>
      </c>
      <c r="D96" s="11" t="s">
        <v>148</v>
      </c>
      <c r="E96" s="11">
        <v>156094617</v>
      </c>
      <c r="F96" s="11">
        <v>156094617</v>
      </c>
      <c r="G96" s="11" t="s">
        <v>183</v>
      </c>
      <c r="H96" s="11"/>
      <c r="I96" s="11">
        <v>698</v>
      </c>
      <c r="J96" s="12" t="s">
        <v>15</v>
      </c>
      <c r="K96" s="13" t="s">
        <v>368</v>
      </c>
      <c r="L96" s="16"/>
      <c r="M96" s="17"/>
    </row>
    <row r="97" spans="1:13" ht="16.5" customHeight="1" x14ac:dyDescent="0.25">
      <c r="A97" s="9">
        <f t="shared" si="2"/>
        <v>94</v>
      </c>
      <c r="B97" s="10">
        <v>8177</v>
      </c>
      <c r="C97" s="11" t="s">
        <v>261</v>
      </c>
      <c r="D97" s="11" t="s">
        <v>148</v>
      </c>
      <c r="E97" s="11" t="s">
        <v>7</v>
      </c>
      <c r="F97" s="11" t="s">
        <v>7</v>
      </c>
      <c r="G97" s="11" t="s">
        <v>262</v>
      </c>
      <c r="H97" s="11"/>
      <c r="I97" s="11"/>
      <c r="J97" s="12" t="s">
        <v>15</v>
      </c>
      <c r="K97" s="13" t="s">
        <v>368</v>
      </c>
      <c r="L97" s="16"/>
      <c r="M97" s="17"/>
    </row>
    <row r="98" spans="1:13" ht="16.5" customHeight="1" x14ac:dyDescent="0.25">
      <c r="A98" s="9">
        <f t="shared" si="2"/>
        <v>95</v>
      </c>
      <c r="B98" s="10">
        <v>523</v>
      </c>
      <c r="C98" s="11" t="s">
        <v>66</v>
      </c>
      <c r="D98" s="11">
        <v>4281580</v>
      </c>
      <c r="E98" s="11" t="s">
        <v>7</v>
      </c>
      <c r="F98" s="11" t="s">
        <v>7</v>
      </c>
      <c r="G98" s="11" t="s">
        <v>73</v>
      </c>
      <c r="H98" s="11"/>
      <c r="I98" s="11">
        <v>1185</v>
      </c>
      <c r="J98" s="12" t="s">
        <v>15</v>
      </c>
      <c r="K98" s="13" t="s">
        <v>368</v>
      </c>
      <c r="L98" s="16"/>
      <c r="M98" s="17">
        <v>921727943</v>
      </c>
    </row>
    <row r="99" spans="1:13" ht="16.5" customHeight="1" x14ac:dyDescent="0.25">
      <c r="A99" s="9">
        <f t="shared" si="2"/>
        <v>96</v>
      </c>
      <c r="B99" s="10">
        <v>1296</v>
      </c>
      <c r="C99" s="11" t="s">
        <v>226</v>
      </c>
      <c r="D99" s="11">
        <v>4270448</v>
      </c>
      <c r="E99" s="11" t="s">
        <v>7</v>
      </c>
      <c r="F99" s="11">
        <v>155927819</v>
      </c>
      <c r="G99" s="11" t="s">
        <v>73</v>
      </c>
      <c r="H99" s="11"/>
      <c r="I99" s="11">
        <v>2030</v>
      </c>
      <c r="J99" s="12" t="s">
        <v>15</v>
      </c>
      <c r="K99" s="13" t="s">
        <v>368</v>
      </c>
      <c r="L99" s="16"/>
      <c r="M99" s="17"/>
    </row>
    <row r="100" spans="1:13" ht="16.5" customHeight="1" x14ac:dyDescent="0.25">
      <c r="A100" s="9">
        <f t="shared" si="2"/>
        <v>97</v>
      </c>
      <c r="B100" s="10">
        <v>428</v>
      </c>
      <c r="C100" s="11" t="s">
        <v>50</v>
      </c>
      <c r="D100" s="11">
        <v>4270988</v>
      </c>
      <c r="E100" s="11" t="s">
        <v>7</v>
      </c>
      <c r="F100" s="11" t="s">
        <v>7</v>
      </c>
      <c r="G100" s="11" t="s">
        <v>73</v>
      </c>
      <c r="H100" s="11"/>
      <c r="I100" s="11">
        <v>2075</v>
      </c>
      <c r="J100" s="12" t="s">
        <v>15</v>
      </c>
      <c r="K100" s="13" t="s">
        <v>368</v>
      </c>
      <c r="L100" s="16"/>
      <c r="M100" s="17">
        <v>929902773</v>
      </c>
    </row>
    <row r="101" spans="1:13" ht="16.5" customHeight="1" x14ac:dyDescent="0.25">
      <c r="A101" s="9">
        <f t="shared" ref="A101:A132" si="3">+A100+1</f>
        <v>98</v>
      </c>
      <c r="B101" s="10">
        <v>481</v>
      </c>
      <c r="C101" s="11" t="s">
        <v>59</v>
      </c>
      <c r="D101" s="11">
        <v>4281152</v>
      </c>
      <c r="E101" s="11" t="s">
        <v>7</v>
      </c>
      <c r="F101" s="11" t="s">
        <v>7</v>
      </c>
      <c r="G101" s="11" t="s">
        <v>334</v>
      </c>
      <c r="H101" s="11"/>
      <c r="I101" s="11">
        <v>1026</v>
      </c>
      <c r="J101" s="12" t="s">
        <v>15</v>
      </c>
      <c r="K101" s="13" t="s">
        <v>368</v>
      </c>
      <c r="L101" s="16"/>
      <c r="M101" s="17"/>
    </row>
    <row r="102" spans="1:13" ht="16.5" customHeight="1" x14ac:dyDescent="0.25">
      <c r="A102" s="9">
        <f t="shared" si="3"/>
        <v>99</v>
      </c>
      <c r="B102" s="10">
        <v>1012</v>
      </c>
      <c r="C102" s="11" t="s">
        <v>149</v>
      </c>
      <c r="D102" s="11">
        <v>4271014</v>
      </c>
      <c r="E102" s="11" t="s">
        <v>7</v>
      </c>
      <c r="F102" s="11" t="s">
        <v>7</v>
      </c>
      <c r="G102" s="11" t="s">
        <v>358</v>
      </c>
      <c r="H102" s="11"/>
      <c r="I102" s="11">
        <v>1047</v>
      </c>
      <c r="J102" s="12" t="s">
        <v>15</v>
      </c>
      <c r="K102" s="13" t="s">
        <v>368</v>
      </c>
      <c r="L102" s="16"/>
      <c r="M102" s="17">
        <v>929625608</v>
      </c>
    </row>
    <row r="103" spans="1:13" ht="16.5" customHeight="1" x14ac:dyDescent="0.25">
      <c r="A103" s="9">
        <f t="shared" si="3"/>
        <v>100</v>
      </c>
      <c r="B103" s="10">
        <v>1263</v>
      </c>
      <c r="C103" s="11" t="s">
        <v>215</v>
      </c>
      <c r="D103" s="11">
        <v>4391337</v>
      </c>
      <c r="E103" s="11" t="s">
        <v>7</v>
      </c>
      <c r="F103" s="11">
        <v>2616018958</v>
      </c>
      <c r="G103" s="11" t="s">
        <v>216</v>
      </c>
      <c r="H103" s="11"/>
      <c r="I103" s="11">
        <v>1710</v>
      </c>
      <c r="J103" s="12" t="s">
        <v>15</v>
      </c>
      <c r="K103" s="13" t="s">
        <v>368</v>
      </c>
      <c r="L103" s="16"/>
      <c r="M103" s="17"/>
    </row>
    <row r="104" spans="1:13" ht="16.5" customHeight="1" x14ac:dyDescent="0.25">
      <c r="A104" s="9">
        <f t="shared" si="3"/>
        <v>101</v>
      </c>
      <c r="B104" s="10">
        <v>558</v>
      </c>
      <c r="C104" s="11" t="s">
        <v>75</v>
      </c>
      <c r="D104" s="11">
        <v>4391337</v>
      </c>
      <c r="E104" s="11" t="s">
        <v>7</v>
      </c>
      <c r="F104" s="11" t="s">
        <v>7</v>
      </c>
      <c r="G104" s="11" t="s">
        <v>216</v>
      </c>
      <c r="H104" s="11"/>
      <c r="I104" s="11">
        <v>1710</v>
      </c>
      <c r="J104" s="12" t="s">
        <v>15</v>
      </c>
      <c r="K104" s="13" t="s">
        <v>368</v>
      </c>
      <c r="L104" s="16"/>
      <c r="M104" s="17"/>
    </row>
    <row r="105" spans="1:13" ht="16.5" customHeight="1" x14ac:dyDescent="0.25">
      <c r="A105" s="9">
        <f t="shared" si="3"/>
        <v>102</v>
      </c>
      <c r="B105" s="10">
        <v>8269</v>
      </c>
      <c r="C105" s="11" t="s">
        <v>293</v>
      </c>
      <c r="D105" s="11">
        <v>4285193</v>
      </c>
      <c r="E105" s="11">
        <v>155538696</v>
      </c>
      <c r="F105" s="11" t="s">
        <v>7</v>
      </c>
      <c r="G105" s="11" t="s">
        <v>294</v>
      </c>
      <c r="H105" s="11"/>
      <c r="I105" s="11">
        <v>1385</v>
      </c>
      <c r="J105" s="12" t="s">
        <v>15</v>
      </c>
      <c r="K105" s="13" t="s">
        <v>368</v>
      </c>
      <c r="L105" s="16"/>
      <c r="M105" s="17">
        <v>949631391</v>
      </c>
    </row>
    <row r="106" spans="1:13" ht="16.5" customHeight="1" x14ac:dyDescent="0.25">
      <c r="A106" s="9">
        <f t="shared" si="3"/>
        <v>103</v>
      </c>
      <c r="B106" s="10">
        <v>333</v>
      </c>
      <c r="C106" s="11" t="s">
        <v>37</v>
      </c>
      <c r="D106" s="11">
        <v>4220364</v>
      </c>
      <c r="E106" s="11" t="s">
        <v>7</v>
      </c>
      <c r="F106" s="11" t="s">
        <v>7</v>
      </c>
      <c r="G106" s="11" t="s">
        <v>52</v>
      </c>
      <c r="H106" s="11"/>
      <c r="I106" s="11">
        <v>680</v>
      </c>
      <c r="J106" s="12" t="s">
        <v>15</v>
      </c>
      <c r="K106" s="13" t="s">
        <v>368</v>
      </c>
      <c r="L106" s="16"/>
      <c r="M106" s="17"/>
    </row>
    <row r="107" spans="1:13" ht="16.5" customHeight="1" x14ac:dyDescent="0.25">
      <c r="A107" s="9">
        <f t="shared" si="3"/>
        <v>104</v>
      </c>
      <c r="B107" s="10">
        <v>349</v>
      </c>
      <c r="C107" s="11" t="s">
        <v>39</v>
      </c>
      <c r="D107" s="11">
        <v>4220364</v>
      </c>
      <c r="E107" s="11" t="s">
        <v>7</v>
      </c>
      <c r="F107" s="11" t="s">
        <v>7</v>
      </c>
      <c r="G107" s="11" t="s">
        <v>52</v>
      </c>
      <c r="H107" s="11"/>
      <c r="I107" s="11">
        <v>680</v>
      </c>
      <c r="J107" s="12" t="s">
        <v>15</v>
      </c>
      <c r="K107" s="13" t="s">
        <v>368</v>
      </c>
      <c r="L107" s="16"/>
      <c r="M107" s="17"/>
    </row>
    <row r="108" spans="1:13" ht="16.5" customHeight="1" x14ac:dyDescent="0.25">
      <c r="A108" s="9">
        <f t="shared" si="3"/>
        <v>105</v>
      </c>
      <c r="B108" s="10">
        <v>8283</v>
      </c>
      <c r="C108" s="11" t="s">
        <v>314</v>
      </c>
      <c r="D108" s="11">
        <v>4244861</v>
      </c>
      <c r="E108" s="11">
        <v>155049579</v>
      </c>
      <c r="F108" s="11" t="s">
        <v>7</v>
      </c>
      <c r="G108" s="11" t="s">
        <v>14</v>
      </c>
      <c r="H108" s="11"/>
      <c r="I108" s="11">
        <v>1418</v>
      </c>
      <c r="J108" s="12" t="s">
        <v>15</v>
      </c>
      <c r="K108" s="16" t="s">
        <v>368</v>
      </c>
      <c r="L108" s="16" t="s">
        <v>436</v>
      </c>
      <c r="M108" s="17"/>
    </row>
    <row r="109" spans="1:13" ht="16.5" customHeight="1" x14ac:dyDescent="0.25">
      <c r="A109" s="9">
        <f t="shared" si="3"/>
        <v>106</v>
      </c>
      <c r="B109" s="10">
        <v>874</v>
      </c>
      <c r="C109" s="11" t="s">
        <v>125</v>
      </c>
      <c r="D109" s="11">
        <v>4244861</v>
      </c>
      <c r="E109" s="11">
        <v>155080678</v>
      </c>
      <c r="F109" s="11" t="s">
        <v>7</v>
      </c>
      <c r="G109" s="11" t="s">
        <v>14</v>
      </c>
      <c r="H109" s="11"/>
      <c r="I109" s="11">
        <v>1418</v>
      </c>
      <c r="J109" s="12" t="s">
        <v>15</v>
      </c>
      <c r="K109" s="16" t="s">
        <v>368</v>
      </c>
      <c r="L109" s="16" t="s">
        <v>436</v>
      </c>
      <c r="M109" s="17"/>
    </row>
    <row r="110" spans="1:13" ht="16.5" customHeight="1" x14ac:dyDescent="0.25">
      <c r="A110" s="9">
        <f t="shared" si="3"/>
        <v>107</v>
      </c>
      <c r="B110" s="10">
        <v>932</v>
      </c>
      <c r="C110" s="11" t="s">
        <v>131</v>
      </c>
      <c r="D110" s="11">
        <v>4244861</v>
      </c>
      <c r="E110" s="11" t="s">
        <v>7</v>
      </c>
      <c r="F110" s="11" t="s">
        <v>7</v>
      </c>
      <c r="G110" s="11" t="s">
        <v>14</v>
      </c>
      <c r="H110" s="11"/>
      <c r="I110" s="11">
        <v>1418</v>
      </c>
      <c r="J110" s="12" t="s">
        <v>15</v>
      </c>
      <c r="K110" s="16" t="s">
        <v>368</v>
      </c>
      <c r="L110" s="16" t="s">
        <v>436</v>
      </c>
      <c r="M110" s="17"/>
    </row>
    <row r="111" spans="1:13" ht="16.5" customHeight="1" x14ac:dyDescent="0.25">
      <c r="A111" s="9">
        <f t="shared" si="3"/>
        <v>108</v>
      </c>
      <c r="B111" s="10">
        <v>182</v>
      </c>
      <c r="C111" s="11" t="s">
        <v>13</v>
      </c>
      <c r="D111" s="11">
        <v>4247424</v>
      </c>
      <c r="E111" s="11" t="s">
        <v>7</v>
      </c>
      <c r="F111" s="11" t="s">
        <v>7</v>
      </c>
      <c r="G111" s="11" t="s">
        <v>14</v>
      </c>
      <c r="H111" s="11"/>
      <c r="I111" s="11">
        <v>1831</v>
      </c>
      <c r="J111" s="12" t="s">
        <v>15</v>
      </c>
      <c r="K111" s="16" t="s">
        <v>368</v>
      </c>
      <c r="L111" s="16"/>
      <c r="M111" s="17"/>
    </row>
    <row r="112" spans="1:13" ht="16.5" customHeight="1" x14ac:dyDescent="0.25">
      <c r="A112" s="9">
        <f t="shared" si="3"/>
        <v>109</v>
      </c>
      <c r="B112" s="10">
        <v>1078</v>
      </c>
      <c r="C112" s="11" t="s">
        <v>167</v>
      </c>
      <c r="D112" s="11">
        <v>4243640</v>
      </c>
      <c r="E112" s="11">
        <v>155709351</v>
      </c>
      <c r="F112" s="11" t="s">
        <v>168</v>
      </c>
      <c r="G112" s="11" t="s">
        <v>14</v>
      </c>
      <c r="H112" s="11" t="s">
        <v>392</v>
      </c>
      <c r="I112" s="11">
        <v>7980</v>
      </c>
      <c r="J112" s="12" t="s">
        <v>15</v>
      </c>
      <c r="K112" s="16" t="s">
        <v>368</v>
      </c>
      <c r="L112" s="16"/>
      <c r="M112" s="17"/>
    </row>
    <row r="113" spans="1:13" ht="16.5" customHeight="1" x14ac:dyDescent="0.25">
      <c r="A113" s="9">
        <f t="shared" si="3"/>
        <v>110</v>
      </c>
      <c r="B113" s="10">
        <v>8267</v>
      </c>
      <c r="C113" s="11" t="s">
        <v>291</v>
      </c>
      <c r="D113" s="11">
        <v>4527080</v>
      </c>
      <c r="E113" s="11" t="s">
        <v>7</v>
      </c>
      <c r="F113" s="11" t="s">
        <v>7</v>
      </c>
      <c r="G113" s="11" t="s">
        <v>135</v>
      </c>
      <c r="H113" s="11"/>
      <c r="I113" s="11">
        <v>1098</v>
      </c>
      <c r="J113" s="12" t="s">
        <v>15</v>
      </c>
      <c r="K113" s="16" t="s">
        <v>368</v>
      </c>
      <c r="L113" s="16"/>
      <c r="M113" s="17"/>
    </row>
    <row r="114" spans="1:13" ht="16.5" customHeight="1" x14ac:dyDescent="0.25">
      <c r="A114" s="9">
        <f t="shared" si="3"/>
        <v>111</v>
      </c>
      <c r="B114" s="10">
        <v>992</v>
      </c>
      <c r="C114" s="11" t="s">
        <v>144</v>
      </c>
      <c r="D114" s="11">
        <v>4521200</v>
      </c>
      <c r="E114" s="11">
        <v>155732000</v>
      </c>
      <c r="F114" s="11" t="s">
        <v>7</v>
      </c>
      <c r="G114" s="11" t="s">
        <v>135</v>
      </c>
      <c r="H114" s="11"/>
      <c r="I114" s="11">
        <v>1630</v>
      </c>
      <c r="J114" s="12" t="s">
        <v>15</v>
      </c>
      <c r="K114" s="16" t="s">
        <v>368</v>
      </c>
      <c r="L114" s="16"/>
      <c r="M114" s="17"/>
    </row>
    <row r="115" spans="1:13" ht="16.5" customHeight="1" x14ac:dyDescent="0.25">
      <c r="A115" s="9">
        <f t="shared" si="3"/>
        <v>112</v>
      </c>
      <c r="B115" s="10">
        <v>940</v>
      </c>
      <c r="C115" s="11" t="s">
        <v>134</v>
      </c>
      <c r="D115" s="11">
        <v>4521176</v>
      </c>
      <c r="E115" s="11">
        <v>155861641</v>
      </c>
      <c r="F115" s="11" t="s">
        <v>7</v>
      </c>
      <c r="G115" s="11" t="s">
        <v>135</v>
      </c>
      <c r="H115" s="11"/>
      <c r="I115" s="11">
        <v>1694</v>
      </c>
      <c r="J115" s="12" t="s">
        <v>15</v>
      </c>
      <c r="K115" s="16" t="s">
        <v>368</v>
      </c>
      <c r="L115" s="16"/>
      <c r="M115" s="17"/>
    </row>
    <row r="116" spans="1:13" ht="16.5" customHeight="1" x14ac:dyDescent="0.25">
      <c r="A116" s="9">
        <f t="shared" si="3"/>
        <v>113</v>
      </c>
      <c r="B116" s="10">
        <v>513</v>
      </c>
      <c r="C116" s="11" t="s">
        <v>65</v>
      </c>
      <c r="D116" s="11">
        <v>4351469</v>
      </c>
      <c r="E116" s="11" t="s">
        <v>7</v>
      </c>
      <c r="F116" s="11" t="s">
        <v>7</v>
      </c>
      <c r="G116" s="11" t="s">
        <v>342</v>
      </c>
      <c r="H116" s="11" t="s">
        <v>341</v>
      </c>
      <c r="I116" s="11">
        <v>315</v>
      </c>
      <c r="J116" s="12" t="s">
        <v>15</v>
      </c>
      <c r="K116" s="16" t="s">
        <v>368</v>
      </c>
      <c r="L116" s="16"/>
      <c r="M116" s="17"/>
    </row>
    <row r="117" spans="1:13" ht="16.5" customHeight="1" x14ac:dyDescent="0.25">
      <c r="A117" s="9">
        <f t="shared" si="3"/>
        <v>114</v>
      </c>
      <c r="B117" s="10">
        <v>512</v>
      </c>
      <c r="C117" s="11" t="s">
        <v>64</v>
      </c>
      <c r="D117" s="11">
        <v>4351469</v>
      </c>
      <c r="E117" s="11" t="s">
        <v>7</v>
      </c>
      <c r="F117" s="11" t="s">
        <v>7</v>
      </c>
      <c r="G117" s="11" t="s">
        <v>342</v>
      </c>
      <c r="H117" s="11" t="s">
        <v>340</v>
      </c>
      <c r="I117" s="11">
        <v>315</v>
      </c>
      <c r="J117" s="12" t="s">
        <v>15</v>
      </c>
      <c r="K117" s="16" t="s">
        <v>368</v>
      </c>
      <c r="L117" s="16"/>
      <c r="M117" s="17"/>
    </row>
    <row r="118" spans="1:13" ht="16.5" customHeight="1" x14ac:dyDescent="0.25">
      <c r="A118" s="9">
        <f t="shared" si="3"/>
        <v>115</v>
      </c>
      <c r="B118" s="10">
        <v>1249</v>
      </c>
      <c r="C118" s="11" t="s">
        <v>209</v>
      </c>
      <c r="D118" s="11">
        <v>4244802</v>
      </c>
      <c r="E118" s="11" t="s">
        <v>7</v>
      </c>
      <c r="F118" s="11">
        <v>156004719</v>
      </c>
      <c r="G118" s="11" t="s">
        <v>210</v>
      </c>
      <c r="H118" s="11"/>
      <c r="I118" s="11">
        <v>52</v>
      </c>
      <c r="J118" s="12" t="s">
        <v>15</v>
      </c>
      <c r="K118" s="16" t="s">
        <v>368</v>
      </c>
      <c r="L118" s="16"/>
      <c r="M118" s="17"/>
    </row>
    <row r="119" spans="1:13" ht="16.5" customHeight="1" x14ac:dyDescent="0.25">
      <c r="A119" s="9">
        <f t="shared" si="3"/>
        <v>116</v>
      </c>
      <c r="B119" s="10">
        <v>8118</v>
      </c>
      <c r="C119" s="11" t="s">
        <v>250</v>
      </c>
      <c r="D119" s="11">
        <v>4248883</v>
      </c>
      <c r="E119" s="11">
        <v>155106942</v>
      </c>
      <c r="F119" s="11" t="s">
        <v>7</v>
      </c>
      <c r="G119" s="11" t="s">
        <v>251</v>
      </c>
      <c r="H119" s="11"/>
      <c r="I119" s="11">
        <v>99</v>
      </c>
      <c r="J119" s="12" t="s">
        <v>15</v>
      </c>
      <c r="K119" s="16" t="s">
        <v>368</v>
      </c>
      <c r="L119" s="16"/>
      <c r="M119" s="17"/>
    </row>
    <row r="120" spans="1:13" ht="16.5" customHeight="1" x14ac:dyDescent="0.25">
      <c r="A120" s="9">
        <f t="shared" si="3"/>
        <v>117</v>
      </c>
      <c r="B120" s="10">
        <v>1229</v>
      </c>
      <c r="C120" s="11" t="s">
        <v>205</v>
      </c>
      <c r="D120" s="11">
        <v>4257319</v>
      </c>
      <c r="E120" s="11">
        <v>155862398</v>
      </c>
      <c r="F120" s="11">
        <v>155862398</v>
      </c>
      <c r="G120" s="11" t="s">
        <v>386</v>
      </c>
      <c r="H120" s="11" t="s">
        <v>387</v>
      </c>
      <c r="I120" s="11">
        <v>1260</v>
      </c>
      <c r="J120" s="12" t="s">
        <v>18</v>
      </c>
      <c r="K120" s="16" t="s">
        <v>368</v>
      </c>
      <c r="L120" s="16"/>
      <c r="M120" s="17"/>
    </row>
    <row r="121" spans="1:13" ht="16.5" customHeight="1" x14ac:dyDescent="0.25">
      <c r="A121" s="9">
        <f t="shared" si="3"/>
        <v>118</v>
      </c>
      <c r="B121" s="10">
        <v>727</v>
      </c>
      <c r="C121" s="11" t="s">
        <v>109</v>
      </c>
      <c r="D121" s="11">
        <v>43110000</v>
      </c>
      <c r="E121" s="11" t="s">
        <v>7</v>
      </c>
      <c r="F121" s="11" t="s">
        <v>7</v>
      </c>
      <c r="G121" s="11" t="s">
        <v>353</v>
      </c>
      <c r="H121" s="11"/>
      <c r="I121" s="11">
        <v>1070</v>
      </c>
      <c r="J121" s="12" t="s">
        <v>18</v>
      </c>
      <c r="K121" s="16" t="s">
        <v>368</v>
      </c>
      <c r="L121" s="16"/>
      <c r="M121" s="17"/>
    </row>
    <row r="122" spans="1:13" ht="16.5" customHeight="1" x14ac:dyDescent="0.25">
      <c r="A122" s="9">
        <f t="shared" si="3"/>
        <v>119</v>
      </c>
      <c r="B122" s="10">
        <v>1209</v>
      </c>
      <c r="C122" s="11" t="s">
        <v>199</v>
      </c>
      <c r="D122" s="11">
        <v>4316818</v>
      </c>
      <c r="E122" s="11">
        <v>154609064</v>
      </c>
      <c r="F122" s="11">
        <v>154609064</v>
      </c>
      <c r="G122" s="11" t="s">
        <v>200</v>
      </c>
      <c r="H122" s="11"/>
      <c r="I122" s="11">
        <v>2320</v>
      </c>
      <c r="J122" s="12" t="s">
        <v>18</v>
      </c>
      <c r="K122" s="38" t="s">
        <v>368</v>
      </c>
      <c r="L122" s="16" t="s">
        <v>436</v>
      </c>
      <c r="M122" s="17"/>
    </row>
    <row r="123" spans="1:13" ht="16.5" customHeight="1" x14ac:dyDescent="0.25">
      <c r="A123" s="9">
        <f t="shared" si="3"/>
        <v>120</v>
      </c>
      <c r="B123" s="10">
        <v>828</v>
      </c>
      <c r="C123" s="11" t="s">
        <v>122</v>
      </c>
      <c r="D123" s="11">
        <v>5056200</v>
      </c>
      <c r="E123" s="11">
        <v>154720954</v>
      </c>
      <c r="F123" s="11" t="s">
        <v>7</v>
      </c>
      <c r="G123" s="11" t="s">
        <v>123</v>
      </c>
      <c r="H123" s="11"/>
      <c r="I123" s="11">
        <v>2245</v>
      </c>
      <c r="J123" s="12" t="s">
        <v>18</v>
      </c>
      <c r="K123" s="16" t="s">
        <v>368</v>
      </c>
      <c r="L123" s="16"/>
      <c r="M123" s="17"/>
    </row>
    <row r="124" spans="1:13" ht="16.5" customHeight="1" x14ac:dyDescent="0.25">
      <c r="A124" s="9">
        <f t="shared" si="3"/>
        <v>121</v>
      </c>
      <c r="B124" s="10">
        <v>1019</v>
      </c>
      <c r="C124" s="11" t="s">
        <v>154</v>
      </c>
      <c r="D124" s="11">
        <v>4910237</v>
      </c>
      <c r="E124" s="11">
        <v>155075592</v>
      </c>
      <c r="F124" s="11" t="s">
        <v>7</v>
      </c>
      <c r="G124" s="11" t="s">
        <v>349</v>
      </c>
      <c r="H124" s="11"/>
      <c r="I124" s="11">
        <v>9207</v>
      </c>
      <c r="J124" s="12" t="s">
        <v>18</v>
      </c>
      <c r="K124" s="16" t="s">
        <v>368</v>
      </c>
      <c r="L124" s="16"/>
      <c r="M124" s="17"/>
    </row>
    <row r="125" spans="1:13" ht="16.5" customHeight="1" x14ac:dyDescent="0.25">
      <c r="A125" s="9">
        <f t="shared" si="3"/>
        <v>122</v>
      </c>
      <c r="B125" s="10">
        <v>1048</v>
      </c>
      <c r="C125" s="11" t="s">
        <v>156</v>
      </c>
      <c r="D125" s="11">
        <v>4910237</v>
      </c>
      <c r="E125" s="11">
        <v>155594104</v>
      </c>
      <c r="F125" s="11" t="s">
        <v>7</v>
      </c>
      <c r="G125" s="11" t="s">
        <v>349</v>
      </c>
      <c r="H125" s="11"/>
      <c r="I125" s="11">
        <v>9207</v>
      </c>
      <c r="J125" s="12" t="s">
        <v>18</v>
      </c>
      <c r="K125" s="16" t="s">
        <v>368</v>
      </c>
      <c r="L125" s="16"/>
      <c r="M125" s="17"/>
    </row>
    <row r="126" spans="1:13" ht="16.5" customHeight="1" x14ac:dyDescent="0.25">
      <c r="A126" s="9">
        <f t="shared" si="3"/>
        <v>123</v>
      </c>
      <c r="B126" s="10">
        <v>1149</v>
      </c>
      <c r="C126" s="11" t="s">
        <v>189</v>
      </c>
      <c r="D126" s="11">
        <v>4264420</v>
      </c>
      <c r="E126" s="11">
        <v>152001922</v>
      </c>
      <c r="F126" s="11">
        <v>152001922</v>
      </c>
      <c r="G126" s="11" t="s">
        <v>190</v>
      </c>
      <c r="H126" s="11"/>
      <c r="I126" s="11">
        <v>1855</v>
      </c>
      <c r="J126" s="12" t="s">
        <v>18</v>
      </c>
      <c r="K126" s="16" t="s">
        <v>368</v>
      </c>
      <c r="L126" s="16" t="s">
        <v>436</v>
      </c>
      <c r="M126" s="17"/>
    </row>
    <row r="127" spans="1:13" ht="16.5" customHeight="1" x14ac:dyDescent="0.25">
      <c r="A127" s="9">
        <f t="shared" si="3"/>
        <v>124</v>
      </c>
      <c r="B127" s="10">
        <v>507</v>
      </c>
      <c r="C127" s="11" t="s">
        <v>63</v>
      </c>
      <c r="D127" s="11">
        <v>4265393</v>
      </c>
      <c r="E127" s="11" t="s">
        <v>7</v>
      </c>
      <c r="F127" s="11" t="s">
        <v>7</v>
      </c>
      <c r="G127" s="11" t="s">
        <v>339</v>
      </c>
      <c r="H127" s="11" t="s">
        <v>338</v>
      </c>
      <c r="I127" s="11">
        <v>3768</v>
      </c>
      <c r="J127" s="12" t="s">
        <v>18</v>
      </c>
      <c r="K127" s="16" t="s">
        <v>368</v>
      </c>
      <c r="L127" s="16"/>
      <c r="M127" s="17"/>
    </row>
    <row r="128" spans="1:13" ht="16.5" customHeight="1" x14ac:dyDescent="0.25">
      <c r="A128" s="9">
        <f t="shared" si="3"/>
        <v>125</v>
      </c>
      <c r="B128" s="10">
        <v>654</v>
      </c>
      <c r="C128" s="11" t="s">
        <v>93</v>
      </c>
      <c r="D128" s="11">
        <v>4910875</v>
      </c>
      <c r="E128" s="11">
        <v>156535484</v>
      </c>
      <c r="F128" s="11">
        <v>156535484</v>
      </c>
      <c r="G128" s="11" t="s">
        <v>94</v>
      </c>
      <c r="H128" s="11"/>
      <c r="I128" s="11">
        <v>53</v>
      </c>
      <c r="J128" s="12" t="s">
        <v>18</v>
      </c>
      <c r="K128" s="16" t="s">
        <v>368</v>
      </c>
      <c r="L128" s="16"/>
      <c r="M128" s="17"/>
    </row>
    <row r="129" spans="1:13" ht="16.5" customHeight="1" x14ac:dyDescent="0.25">
      <c r="A129" s="9">
        <f t="shared" si="3"/>
        <v>126</v>
      </c>
      <c r="B129" s="10">
        <v>1201</v>
      </c>
      <c r="C129" s="11" t="s">
        <v>194</v>
      </c>
      <c r="D129" s="11" t="s">
        <v>148</v>
      </c>
      <c r="E129" s="11">
        <v>155598524</v>
      </c>
      <c r="F129" s="11">
        <v>155598824</v>
      </c>
      <c r="G129" s="11" t="s">
        <v>195</v>
      </c>
      <c r="H129" s="11"/>
      <c r="I129" s="11">
        <v>1003</v>
      </c>
      <c r="J129" s="12" t="s">
        <v>18</v>
      </c>
      <c r="K129" s="16" t="s">
        <v>368</v>
      </c>
      <c r="L129" s="16" t="s">
        <v>436</v>
      </c>
      <c r="M129" s="17"/>
    </row>
    <row r="130" spans="1:13" ht="16.5" customHeight="1" x14ac:dyDescent="0.25">
      <c r="A130" s="9">
        <f t="shared" si="3"/>
        <v>127</v>
      </c>
      <c r="B130" s="10">
        <v>937</v>
      </c>
      <c r="C130" s="11" t="s">
        <v>132</v>
      </c>
      <c r="D130" s="11">
        <v>4327864</v>
      </c>
      <c r="E130" s="11">
        <v>155937794</v>
      </c>
      <c r="F130" s="11">
        <v>2615937794</v>
      </c>
      <c r="G130" s="11" t="s">
        <v>133</v>
      </c>
      <c r="H130" s="11"/>
      <c r="I130" s="11"/>
      <c r="J130" s="12" t="s">
        <v>18</v>
      </c>
      <c r="K130" s="16" t="s">
        <v>368</v>
      </c>
      <c r="L130" s="16"/>
      <c r="M130" s="17"/>
    </row>
    <row r="131" spans="1:13" ht="16.5" customHeight="1" x14ac:dyDescent="0.25">
      <c r="A131" s="9">
        <f t="shared" si="3"/>
        <v>128</v>
      </c>
      <c r="B131" s="10">
        <v>258</v>
      </c>
      <c r="C131" s="11" t="s">
        <v>29</v>
      </c>
      <c r="D131" s="11">
        <v>4452266</v>
      </c>
      <c r="E131" s="11" t="s">
        <v>7</v>
      </c>
      <c r="F131" s="11" t="s">
        <v>7</v>
      </c>
      <c r="G131" s="11" t="s">
        <v>15</v>
      </c>
      <c r="H131" s="11"/>
      <c r="I131" s="11">
        <v>2529</v>
      </c>
      <c r="J131" s="12" t="s">
        <v>18</v>
      </c>
      <c r="K131" s="16" t="s">
        <v>368</v>
      </c>
      <c r="L131" s="16"/>
      <c r="M131" s="17"/>
    </row>
    <row r="132" spans="1:13" ht="16.5" customHeight="1" x14ac:dyDescent="0.25">
      <c r="A132" s="9">
        <f t="shared" si="3"/>
        <v>129</v>
      </c>
      <c r="B132" s="10">
        <v>592</v>
      </c>
      <c r="C132" s="11" t="s">
        <v>81</v>
      </c>
      <c r="D132" s="11">
        <v>4260312</v>
      </c>
      <c r="E132" s="11">
        <v>154678017</v>
      </c>
      <c r="F132" s="11" t="s">
        <v>7</v>
      </c>
      <c r="G132" s="11" t="s">
        <v>15</v>
      </c>
      <c r="H132" s="11"/>
      <c r="I132" s="11">
        <v>3466</v>
      </c>
      <c r="J132" s="12" t="s">
        <v>18</v>
      </c>
      <c r="K132" s="16" t="s">
        <v>368</v>
      </c>
      <c r="L132" s="16"/>
      <c r="M132" s="17"/>
    </row>
    <row r="133" spans="1:13" ht="16.5" customHeight="1" x14ac:dyDescent="0.25">
      <c r="A133" s="9">
        <f t="shared" ref="A133:A164" si="4">+A132+1</f>
        <v>130</v>
      </c>
      <c r="B133" s="10">
        <v>8289</v>
      </c>
      <c r="C133" s="11" t="s">
        <v>321</v>
      </c>
      <c r="D133" s="11">
        <v>4260312</v>
      </c>
      <c r="E133" s="11">
        <v>154678017</v>
      </c>
      <c r="F133" s="11" t="s">
        <v>7</v>
      </c>
      <c r="G133" s="11" t="s">
        <v>15</v>
      </c>
      <c r="H133" s="11"/>
      <c r="I133" s="11">
        <v>3466</v>
      </c>
      <c r="J133" s="12" t="s">
        <v>18</v>
      </c>
      <c r="K133" s="16" t="s">
        <v>368</v>
      </c>
      <c r="L133" s="16"/>
      <c r="M133" s="17"/>
    </row>
    <row r="134" spans="1:13" ht="16.5" customHeight="1" x14ac:dyDescent="0.25">
      <c r="A134" s="9">
        <f t="shared" si="4"/>
        <v>131</v>
      </c>
      <c r="B134" s="10">
        <v>1360</v>
      </c>
      <c r="C134" s="11" t="s">
        <v>236</v>
      </c>
      <c r="D134" s="11" t="s">
        <v>148</v>
      </c>
      <c r="E134" s="11">
        <v>156930604</v>
      </c>
      <c r="F134" s="11">
        <v>156930604</v>
      </c>
      <c r="G134" s="11" t="s">
        <v>15</v>
      </c>
      <c r="H134" s="11"/>
      <c r="I134" s="11">
        <v>6281</v>
      </c>
      <c r="J134" s="12" t="s">
        <v>18</v>
      </c>
      <c r="K134" s="16" t="s">
        <v>368</v>
      </c>
      <c r="L134" s="16"/>
      <c r="M134" s="17"/>
    </row>
    <row r="135" spans="1:13" ht="16.5" customHeight="1" x14ac:dyDescent="0.25">
      <c r="A135" s="9">
        <f t="shared" si="4"/>
        <v>132</v>
      </c>
      <c r="B135" s="10">
        <v>1321</v>
      </c>
      <c r="C135" s="11" t="s">
        <v>233</v>
      </c>
      <c r="D135" s="11">
        <v>4265261</v>
      </c>
      <c r="E135" s="11">
        <v>155438922</v>
      </c>
      <c r="F135" s="11">
        <v>155438922</v>
      </c>
      <c r="G135" s="11" t="s">
        <v>15</v>
      </c>
      <c r="H135" s="11"/>
      <c r="I135" s="11">
        <v>6281</v>
      </c>
      <c r="J135" s="12" t="s">
        <v>18</v>
      </c>
      <c r="K135" s="16" t="s">
        <v>368</v>
      </c>
      <c r="L135" s="16"/>
      <c r="M135" s="17"/>
    </row>
    <row r="136" spans="1:13" ht="16.5" customHeight="1" x14ac:dyDescent="0.25">
      <c r="A136" s="9">
        <f t="shared" si="4"/>
        <v>133</v>
      </c>
      <c r="B136" s="10">
        <v>1011</v>
      </c>
      <c r="C136" s="11" t="s">
        <v>147</v>
      </c>
      <c r="D136" s="11" t="s">
        <v>148</v>
      </c>
      <c r="E136" s="11">
        <v>155029788</v>
      </c>
      <c r="F136" s="11">
        <v>155029788</v>
      </c>
      <c r="G136" s="11" t="s">
        <v>15</v>
      </c>
      <c r="H136" s="11" t="s">
        <v>365</v>
      </c>
      <c r="I136" s="11"/>
      <c r="J136" s="12" t="s">
        <v>18</v>
      </c>
      <c r="K136" s="16" t="s">
        <v>368</v>
      </c>
      <c r="L136" s="16" t="s">
        <v>436</v>
      </c>
      <c r="M136" s="17"/>
    </row>
    <row r="137" spans="1:13" ht="16.5" customHeight="1" x14ac:dyDescent="0.25">
      <c r="A137" s="9">
        <f t="shared" si="4"/>
        <v>134</v>
      </c>
      <c r="B137" s="10">
        <v>637</v>
      </c>
      <c r="C137" s="11" t="s">
        <v>90</v>
      </c>
      <c r="D137" s="11">
        <v>4456926</v>
      </c>
      <c r="E137" s="11">
        <v>155469773</v>
      </c>
      <c r="F137" s="11" t="s">
        <v>7</v>
      </c>
      <c r="G137" s="11" t="s">
        <v>24</v>
      </c>
      <c r="H137" s="11"/>
      <c r="I137" s="11">
        <v>742</v>
      </c>
      <c r="J137" s="12" t="s">
        <v>18</v>
      </c>
      <c r="K137" s="16" t="s">
        <v>368</v>
      </c>
      <c r="L137" s="16"/>
      <c r="M137" s="17"/>
    </row>
    <row r="138" spans="1:13" ht="16.5" customHeight="1" x14ac:dyDescent="0.25">
      <c r="A138" s="9">
        <f t="shared" si="4"/>
        <v>135</v>
      </c>
      <c r="B138" s="10">
        <v>1121</v>
      </c>
      <c r="C138" s="11" t="s">
        <v>180</v>
      </c>
      <c r="D138" s="11">
        <v>4260730</v>
      </c>
      <c r="E138" s="11">
        <v>155098934</v>
      </c>
      <c r="F138" s="11">
        <v>155098934</v>
      </c>
      <c r="G138" s="11" t="s">
        <v>181</v>
      </c>
      <c r="H138" s="11"/>
      <c r="I138" s="11">
        <v>800</v>
      </c>
      <c r="J138" s="12" t="s">
        <v>18</v>
      </c>
      <c r="K138" s="16" t="s">
        <v>368</v>
      </c>
      <c r="L138" s="16"/>
      <c r="M138" s="17"/>
    </row>
    <row r="139" spans="1:13" ht="16.5" customHeight="1" x14ac:dyDescent="0.25">
      <c r="A139" s="9">
        <f t="shared" si="4"/>
        <v>136</v>
      </c>
      <c r="B139" s="10">
        <v>894</v>
      </c>
      <c r="C139" s="11" t="s">
        <v>126</v>
      </c>
      <c r="D139" s="11">
        <v>4457988</v>
      </c>
      <c r="E139" s="11" t="s">
        <v>7</v>
      </c>
      <c r="F139" s="11" t="s">
        <v>7</v>
      </c>
      <c r="G139" s="11" t="s">
        <v>128</v>
      </c>
      <c r="H139" s="11"/>
      <c r="I139" s="11">
        <v>1011</v>
      </c>
      <c r="J139" s="12" t="s">
        <v>18</v>
      </c>
      <c r="K139" s="16" t="s">
        <v>368</v>
      </c>
      <c r="L139" s="16" t="s">
        <v>436</v>
      </c>
      <c r="M139" s="17"/>
    </row>
    <row r="140" spans="1:13" ht="16.5" customHeight="1" x14ac:dyDescent="0.25">
      <c r="A140" s="9">
        <f t="shared" si="4"/>
        <v>137</v>
      </c>
      <c r="B140" s="10">
        <v>1148</v>
      </c>
      <c r="C140" s="11" t="s">
        <v>188</v>
      </c>
      <c r="D140" s="11">
        <v>4455550</v>
      </c>
      <c r="E140" s="11">
        <v>155782226</v>
      </c>
      <c r="F140" s="11" t="s">
        <v>7</v>
      </c>
      <c r="G140" s="11" t="s">
        <v>206</v>
      </c>
      <c r="H140" s="11"/>
      <c r="I140" s="11">
        <v>1260</v>
      </c>
      <c r="J140" s="12" t="s">
        <v>18</v>
      </c>
      <c r="K140" s="16" t="s">
        <v>368</v>
      </c>
      <c r="L140" s="16"/>
      <c r="M140" s="17"/>
    </row>
    <row r="141" spans="1:13" ht="16.5" customHeight="1" x14ac:dyDescent="0.25">
      <c r="A141" s="9">
        <f t="shared" si="4"/>
        <v>138</v>
      </c>
      <c r="B141" s="10">
        <v>1261</v>
      </c>
      <c r="C141" s="11" t="s">
        <v>213</v>
      </c>
      <c r="D141" s="11">
        <v>4263912</v>
      </c>
      <c r="E141" s="11">
        <v>155381491</v>
      </c>
      <c r="F141" s="11">
        <v>155381491</v>
      </c>
      <c r="G141" s="11" t="s">
        <v>214</v>
      </c>
      <c r="H141" s="11"/>
      <c r="I141" s="11">
        <v>535</v>
      </c>
      <c r="J141" s="12" t="s">
        <v>18</v>
      </c>
      <c r="K141" s="16" t="s">
        <v>368</v>
      </c>
      <c r="L141" s="16"/>
      <c r="M141" s="17"/>
    </row>
    <row r="142" spans="1:13" ht="16.5" customHeight="1" x14ac:dyDescent="0.25">
      <c r="A142" s="9">
        <f t="shared" si="4"/>
        <v>139</v>
      </c>
      <c r="B142" s="10">
        <v>1215</v>
      </c>
      <c r="C142" s="11" t="s">
        <v>202</v>
      </c>
      <c r="D142" s="11">
        <v>4370244</v>
      </c>
      <c r="E142" s="11">
        <v>155047696</v>
      </c>
      <c r="F142" s="11" t="s">
        <v>7</v>
      </c>
      <c r="G142" s="11" t="s">
        <v>366</v>
      </c>
      <c r="H142" s="11"/>
      <c r="I142" s="11">
        <v>1808</v>
      </c>
      <c r="J142" s="12" t="s">
        <v>24</v>
      </c>
      <c r="K142" s="13" t="s">
        <v>368</v>
      </c>
      <c r="L142" s="16"/>
      <c r="M142" s="17"/>
    </row>
    <row r="143" spans="1:13" ht="16.5" customHeight="1" x14ac:dyDescent="0.25">
      <c r="A143" s="9">
        <f t="shared" si="4"/>
        <v>140</v>
      </c>
      <c r="B143" s="10">
        <v>8107</v>
      </c>
      <c r="C143" s="11" t="s">
        <v>249</v>
      </c>
      <c r="D143" s="11">
        <v>4122476</v>
      </c>
      <c r="E143" s="11" t="s">
        <v>7</v>
      </c>
      <c r="F143" s="11" t="s">
        <v>7</v>
      </c>
      <c r="G143" s="11" t="s">
        <v>220</v>
      </c>
      <c r="H143" s="11"/>
      <c r="I143" s="11">
        <v>416</v>
      </c>
      <c r="J143" s="12" t="s">
        <v>24</v>
      </c>
      <c r="K143" s="13" t="s">
        <v>368</v>
      </c>
      <c r="L143" s="16"/>
      <c r="M143" s="17"/>
    </row>
    <row r="144" spans="1:13" ht="16.5" customHeight="1" x14ac:dyDescent="0.25">
      <c r="A144" s="9">
        <f t="shared" si="4"/>
        <v>141</v>
      </c>
      <c r="B144" s="10">
        <v>484</v>
      </c>
      <c r="C144" s="11" t="s">
        <v>60</v>
      </c>
      <c r="D144" s="11">
        <v>4302890</v>
      </c>
      <c r="E144" s="11">
        <v>156091956</v>
      </c>
      <c r="F144" s="11" t="s">
        <v>7</v>
      </c>
      <c r="G144" s="11" t="s">
        <v>335</v>
      </c>
      <c r="H144" s="11"/>
      <c r="I144" s="11">
        <v>501</v>
      </c>
      <c r="J144" s="12" t="s">
        <v>24</v>
      </c>
      <c r="K144" s="13" t="s">
        <v>368</v>
      </c>
      <c r="L144" s="16"/>
      <c r="M144" s="17"/>
    </row>
    <row r="145" spans="1:13" ht="16.5" customHeight="1" x14ac:dyDescent="0.25">
      <c r="A145" s="9">
        <f t="shared" si="4"/>
        <v>142</v>
      </c>
      <c r="B145" s="10">
        <v>1077</v>
      </c>
      <c r="C145" s="11" t="s">
        <v>166</v>
      </c>
      <c r="D145" s="11">
        <v>4303353</v>
      </c>
      <c r="E145" s="11">
        <v>156232290</v>
      </c>
      <c r="F145" s="11" t="s">
        <v>7</v>
      </c>
      <c r="G145" s="11" t="s">
        <v>14</v>
      </c>
      <c r="H145" s="11"/>
      <c r="I145" s="24">
        <v>1598</v>
      </c>
      <c r="J145" s="12" t="s">
        <v>24</v>
      </c>
      <c r="K145" s="13" t="s">
        <v>368</v>
      </c>
      <c r="L145" s="16" t="s">
        <v>436</v>
      </c>
      <c r="M145" s="17"/>
    </row>
    <row r="146" spans="1:13" ht="16.5" customHeight="1" x14ac:dyDescent="0.25">
      <c r="A146" s="9">
        <f t="shared" si="4"/>
        <v>143</v>
      </c>
      <c r="B146" s="10">
        <v>252</v>
      </c>
      <c r="C146" s="11" t="s">
        <v>27</v>
      </c>
      <c r="D146" s="11">
        <v>4305997</v>
      </c>
      <c r="E146" s="11" t="s">
        <v>7</v>
      </c>
      <c r="F146" s="11" t="s">
        <v>7</v>
      </c>
      <c r="G146" s="11" t="s">
        <v>14</v>
      </c>
      <c r="H146" s="11"/>
      <c r="I146" s="11">
        <v>1736</v>
      </c>
      <c r="J146" s="12" t="s">
        <v>24</v>
      </c>
      <c r="K146" s="13" t="s">
        <v>368</v>
      </c>
      <c r="L146" s="16" t="s">
        <v>436</v>
      </c>
      <c r="M146" s="17"/>
    </row>
    <row r="147" spans="1:13" ht="16.5" customHeight="1" x14ac:dyDescent="0.25">
      <c r="A147" s="9">
        <f t="shared" si="4"/>
        <v>144</v>
      </c>
      <c r="B147" s="10">
        <v>8273</v>
      </c>
      <c r="C147" s="11" t="s">
        <v>301</v>
      </c>
      <c r="D147" s="11">
        <v>4303353</v>
      </c>
      <c r="E147" s="11">
        <v>156232290</v>
      </c>
      <c r="F147" s="11" t="s">
        <v>7</v>
      </c>
      <c r="G147" s="11" t="s">
        <v>100</v>
      </c>
      <c r="H147" s="11"/>
      <c r="I147" s="11">
        <v>1598</v>
      </c>
      <c r="J147" s="12" t="s">
        <v>24</v>
      </c>
      <c r="K147" s="13" t="s">
        <v>368</v>
      </c>
      <c r="L147" s="16" t="s">
        <v>436</v>
      </c>
      <c r="M147" s="17"/>
    </row>
    <row r="148" spans="1:13" ht="16.5" customHeight="1" x14ac:dyDescent="0.25">
      <c r="A148" s="9">
        <f t="shared" si="4"/>
        <v>145</v>
      </c>
      <c r="B148" s="10">
        <v>309</v>
      </c>
      <c r="C148" s="11" t="s">
        <v>32</v>
      </c>
      <c r="D148" s="11">
        <v>4306298</v>
      </c>
      <c r="E148" s="11" t="s">
        <v>7</v>
      </c>
      <c r="F148" s="11" t="s">
        <v>7</v>
      </c>
      <c r="G148" s="11" t="s">
        <v>218</v>
      </c>
      <c r="H148" s="11"/>
      <c r="I148" s="11">
        <v>1189</v>
      </c>
      <c r="J148" s="12" t="s">
        <v>24</v>
      </c>
      <c r="K148" s="13" t="s">
        <v>368</v>
      </c>
      <c r="L148" s="16" t="s">
        <v>436</v>
      </c>
      <c r="M148" s="17"/>
    </row>
    <row r="149" spans="1:13" ht="16.5" customHeight="1" x14ac:dyDescent="0.25">
      <c r="A149" s="9">
        <f t="shared" si="4"/>
        <v>146</v>
      </c>
      <c r="B149" s="10">
        <v>8268</v>
      </c>
      <c r="C149" s="11" t="s">
        <v>292</v>
      </c>
      <c r="D149" s="11">
        <v>4302462</v>
      </c>
      <c r="E149" s="11" t="s">
        <v>7</v>
      </c>
      <c r="F149" s="11" t="s">
        <v>7</v>
      </c>
      <c r="G149" s="11" t="s">
        <v>218</v>
      </c>
      <c r="H149" s="11"/>
      <c r="I149" s="11">
        <v>1444</v>
      </c>
      <c r="J149" s="12" t="s">
        <v>24</v>
      </c>
      <c r="K149" s="13" t="s">
        <v>368</v>
      </c>
      <c r="L149" s="16" t="s">
        <v>436</v>
      </c>
      <c r="M149" s="17"/>
    </row>
    <row r="150" spans="1:13" ht="16.5" customHeight="1" x14ac:dyDescent="0.25">
      <c r="A150" s="9">
        <f t="shared" si="4"/>
        <v>147</v>
      </c>
      <c r="B150" s="10">
        <v>242</v>
      </c>
      <c r="C150" s="11" t="s">
        <v>23</v>
      </c>
      <c r="D150" s="11">
        <v>4302462</v>
      </c>
      <c r="E150" s="11" t="s">
        <v>7</v>
      </c>
      <c r="F150" s="11" t="s">
        <v>7</v>
      </c>
      <c r="G150" s="11" t="s">
        <v>218</v>
      </c>
      <c r="H150" s="11"/>
      <c r="I150" s="11">
        <v>1444</v>
      </c>
      <c r="J150" s="12" t="s">
        <v>24</v>
      </c>
      <c r="K150" s="13" t="s">
        <v>368</v>
      </c>
      <c r="L150" s="16" t="s">
        <v>436</v>
      </c>
      <c r="M150" s="17"/>
    </row>
    <row r="151" spans="1:13" ht="16.5" customHeight="1" x14ac:dyDescent="0.25">
      <c r="A151" s="9">
        <f t="shared" si="4"/>
        <v>148</v>
      </c>
      <c r="B151" s="10">
        <v>1275</v>
      </c>
      <c r="C151" s="11" t="s">
        <v>217</v>
      </c>
      <c r="D151" s="11">
        <v>4371508</v>
      </c>
      <c r="E151" s="11">
        <v>153695753</v>
      </c>
      <c r="F151" s="11">
        <v>153695753</v>
      </c>
      <c r="G151" s="11" t="s">
        <v>218</v>
      </c>
      <c r="H151" s="11"/>
      <c r="I151" s="11">
        <v>1794</v>
      </c>
      <c r="J151" s="12" t="s">
        <v>24</v>
      </c>
      <c r="K151" s="13" t="s">
        <v>368</v>
      </c>
      <c r="L151" s="16"/>
      <c r="M151" s="17"/>
    </row>
    <row r="152" spans="1:13" ht="16.5" customHeight="1" x14ac:dyDescent="0.25">
      <c r="A152" s="9">
        <f t="shared" si="4"/>
        <v>149</v>
      </c>
      <c r="B152" s="10">
        <v>794</v>
      </c>
      <c r="C152" s="11" t="s">
        <v>116</v>
      </c>
      <c r="D152" s="11">
        <v>4377454</v>
      </c>
      <c r="E152" s="11">
        <v>156306141</v>
      </c>
      <c r="F152" s="11" t="s">
        <v>7</v>
      </c>
      <c r="G152" s="11" t="s">
        <v>117</v>
      </c>
      <c r="H152" s="11"/>
      <c r="I152" s="11">
        <v>1414</v>
      </c>
      <c r="J152" s="12" t="s">
        <v>24</v>
      </c>
      <c r="K152" s="13" t="s">
        <v>368</v>
      </c>
      <c r="L152" s="16"/>
      <c r="M152" s="17"/>
    </row>
    <row r="153" spans="1:13" ht="16.5" customHeight="1" x14ac:dyDescent="0.25">
      <c r="A153" s="9">
        <f t="shared" si="4"/>
        <v>150</v>
      </c>
      <c r="B153" s="10">
        <v>1068</v>
      </c>
      <c r="C153" s="11" t="s">
        <v>162</v>
      </c>
      <c r="D153" s="11">
        <v>4984029</v>
      </c>
      <c r="E153" s="11">
        <v>155093788</v>
      </c>
      <c r="F153" s="11" t="s">
        <v>7</v>
      </c>
      <c r="G153" s="11" t="s">
        <v>163</v>
      </c>
      <c r="H153" s="11"/>
      <c r="I153" s="11">
        <v>80</v>
      </c>
      <c r="J153" s="12" t="s">
        <v>84</v>
      </c>
      <c r="K153" s="13" t="s">
        <v>368</v>
      </c>
      <c r="L153" s="16"/>
      <c r="M153" s="17"/>
    </row>
    <row r="154" spans="1:13" ht="16.5" customHeight="1" x14ac:dyDescent="0.25">
      <c r="A154" s="9">
        <f t="shared" si="4"/>
        <v>151</v>
      </c>
      <c r="B154" s="10">
        <v>8161</v>
      </c>
      <c r="C154" s="11" t="s">
        <v>252</v>
      </c>
      <c r="D154" s="11">
        <v>4980524</v>
      </c>
      <c r="E154" s="11">
        <v>155633470</v>
      </c>
      <c r="F154" s="11" t="s">
        <v>7</v>
      </c>
      <c r="G154" s="11" t="s">
        <v>367</v>
      </c>
      <c r="H154" s="11"/>
      <c r="I154" s="11">
        <v>185</v>
      </c>
      <c r="J154" s="12" t="s">
        <v>84</v>
      </c>
      <c r="K154" s="16" t="s">
        <v>368</v>
      </c>
      <c r="L154" s="16"/>
      <c r="M154" s="17"/>
    </row>
    <row r="155" spans="1:13" ht="16.5" customHeight="1" x14ac:dyDescent="0.25">
      <c r="A155" s="9">
        <f t="shared" si="4"/>
        <v>152</v>
      </c>
      <c r="B155" s="10">
        <v>8284</v>
      </c>
      <c r="C155" s="11" t="s">
        <v>315</v>
      </c>
      <c r="D155" s="11">
        <v>4988664</v>
      </c>
      <c r="E155" s="11" t="s">
        <v>7</v>
      </c>
      <c r="F155" s="11" t="s">
        <v>7</v>
      </c>
      <c r="G155" s="11" t="s">
        <v>270</v>
      </c>
      <c r="H155" s="11"/>
      <c r="I155" s="11">
        <v>44</v>
      </c>
      <c r="J155" s="12" t="s">
        <v>84</v>
      </c>
      <c r="K155" s="16" t="s">
        <v>368</v>
      </c>
      <c r="L155" s="16"/>
      <c r="M155" s="17"/>
    </row>
    <row r="156" spans="1:13" ht="16.5" customHeight="1" x14ac:dyDescent="0.25">
      <c r="A156" s="9">
        <f t="shared" si="4"/>
        <v>153</v>
      </c>
      <c r="B156" s="10">
        <v>8236</v>
      </c>
      <c r="C156" s="11" t="s">
        <v>269</v>
      </c>
      <c r="D156" s="11">
        <v>4987007</v>
      </c>
      <c r="E156" s="11" t="s">
        <v>7</v>
      </c>
      <c r="F156" s="11" t="s">
        <v>7</v>
      </c>
      <c r="G156" s="11" t="s">
        <v>270</v>
      </c>
      <c r="H156" s="11"/>
      <c r="I156" s="11">
        <v>46</v>
      </c>
      <c r="J156" s="12" t="s">
        <v>84</v>
      </c>
      <c r="K156" s="16" t="s">
        <v>368</v>
      </c>
      <c r="L156" s="16"/>
      <c r="M156" s="17"/>
    </row>
    <row r="157" spans="1:13" ht="16.5" customHeight="1" x14ac:dyDescent="0.25">
      <c r="A157" s="9">
        <f t="shared" si="4"/>
        <v>154</v>
      </c>
      <c r="B157" s="10">
        <v>1042</v>
      </c>
      <c r="C157" s="11" t="s">
        <v>155</v>
      </c>
      <c r="D157" s="11">
        <v>4987007</v>
      </c>
      <c r="E157" s="11" t="s">
        <v>7</v>
      </c>
      <c r="F157" s="11" t="s">
        <v>7</v>
      </c>
      <c r="G157" s="11" t="s">
        <v>270</v>
      </c>
      <c r="H157" s="11"/>
      <c r="I157" s="11">
        <v>46</v>
      </c>
      <c r="J157" s="12" t="s">
        <v>84</v>
      </c>
      <c r="K157" s="16" t="s">
        <v>368</v>
      </c>
      <c r="L157" s="16"/>
      <c r="M157" s="17"/>
    </row>
    <row r="158" spans="1:13" ht="16.5" customHeight="1" x14ac:dyDescent="0.25">
      <c r="A158" s="9">
        <f t="shared" si="4"/>
        <v>155</v>
      </c>
      <c r="B158" s="10">
        <v>348</v>
      </c>
      <c r="C158" s="11" t="s">
        <v>38</v>
      </c>
      <c r="D158" s="11">
        <v>4981594</v>
      </c>
      <c r="E158" s="11" t="s">
        <v>7</v>
      </c>
      <c r="F158" s="11" t="s">
        <v>7</v>
      </c>
      <c r="G158" s="11" t="s">
        <v>305</v>
      </c>
      <c r="H158" s="11"/>
      <c r="I158" s="11">
        <v>508</v>
      </c>
      <c r="J158" s="12" t="s">
        <v>84</v>
      </c>
      <c r="K158" s="16" t="s">
        <v>368</v>
      </c>
      <c r="L158" s="16"/>
      <c r="M158" s="17"/>
    </row>
    <row r="159" spans="1:13" ht="16.5" customHeight="1" x14ac:dyDescent="0.25">
      <c r="A159" s="9">
        <f t="shared" si="4"/>
        <v>156</v>
      </c>
      <c r="B159" s="10">
        <v>8276</v>
      </c>
      <c r="C159" s="11" t="s">
        <v>304</v>
      </c>
      <c r="D159" s="11">
        <v>4981594</v>
      </c>
      <c r="E159" s="11" t="s">
        <v>7</v>
      </c>
      <c r="F159" s="11" t="s">
        <v>7</v>
      </c>
      <c r="G159" s="11" t="s">
        <v>305</v>
      </c>
      <c r="H159" s="11"/>
      <c r="I159" s="11">
        <v>508</v>
      </c>
      <c r="J159" s="12" t="s">
        <v>84</v>
      </c>
      <c r="K159" s="16" t="s">
        <v>368</v>
      </c>
      <c r="L159" s="16"/>
      <c r="M159" s="17"/>
    </row>
    <row r="160" spans="1:13" ht="16.5" customHeight="1" x14ac:dyDescent="0.25">
      <c r="A160" s="9">
        <f t="shared" si="4"/>
        <v>157</v>
      </c>
      <c r="B160" s="10">
        <v>8274</v>
      </c>
      <c r="C160" s="11" t="s">
        <v>302</v>
      </c>
      <c r="D160" s="11" t="s">
        <v>148</v>
      </c>
      <c r="E160" s="11" t="s">
        <v>7</v>
      </c>
      <c r="F160" s="11" t="s">
        <v>7</v>
      </c>
      <c r="G160" s="11" t="s">
        <v>220</v>
      </c>
      <c r="H160" s="11"/>
      <c r="I160" s="11">
        <v>4306</v>
      </c>
      <c r="J160" s="12" t="s">
        <v>84</v>
      </c>
      <c r="K160" s="16" t="s">
        <v>368</v>
      </c>
      <c r="L160" s="16"/>
      <c r="M160" s="17"/>
    </row>
    <row r="161" spans="1:13" ht="16.5" customHeight="1" x14ac:dyDescent="0.25">
      <c r="A161" s="9">
        <f t="shared" si="4"/>
        <v>158</v>
      </c>
      <c r="B161" s="10">
        <v>1280</v>
      </c>
      <c r="C161" s="11" t="s">
        <v>219</v>
      </c>
      <c r="D161" s="11">
        <v>4980434</v>
      </c>
      <c r="E161" s="11">
        <v>155782787</v>
      </c>
      <c r="F161" s="11">
        <v>155782787</v>
      </c>
      <c r="G161" s="11" t="s">
        <v>220</v>
      </c>
      <c r="H161" s="11"/>
      <c r="I161" s="11">
        <v>4306</v>
      </c>
      <c r="J161" s="12" t="s">
        <v>84</v>
      </c>
      <c r="K161" s="16" t="s">
        <v>368</v>
      </c>
      <c r="L161" s="16"/>
      <c r="M161" s="17"/>
    </row>
    <row r="162" spans="1:13" ht="16.5" customHeight="1" x14ac:dyDescent="0.25">
      <c r="A162" s="9">
        <f t="shared" si="4"/>
        <v>159</v>
      </c>
      <c r="B162" s="10">
        <v>743</v>
      </c>
      <c r="C162" s="11" t="s">
        <v>111</v>
      </c>
      <c r="D162" s="11">
        <v>4981738</v>
      </c>
      <c r="E162" s="11">
        <v>156566122</v>
      </c>
      <c r="F162" s="11" t="s">
        <v>7</v>
      </c>
      <c r="G162" s="11" t="s">
        <v>52</v>
      </c>
      <c r="H162" s="11"/>
      <c r="I162" s="11">
        <v>88</v>
      </c>
      <c r="J162" s="12" t="s">
        <v>84</v>
      </c>
      <c r="K162" s="16" t="s">
        <v>368</v>
      </c>
      <c r="L162" s="16"/>
      <c r="M162" s="17"/>
    </row>
    <row r="163" spans="1:13" ht="16.5" customHeight="1" x14ac:dyDescent="0.25">
      <c r="A163" s="9">
        <f t="shared" si="4"/>
        <v>160</v>
      </c>
      <c r="B163" s="10">
        <v>1366</v>
      </c>
      <c r="C163" s="11" t="s">
        <v>237</v>
      </c>
      <c r="D163" s="11">
        <v>4980379</v>
      </c>
      <c r="E163" s="11">
        <v>153678905</v>
      </c>
      <c r="F163" s="11">
        <v>153678905</v>
      </c>
      <c r="G163" s="11" t="s">
        <v>325</v>
      </c>
      <c r="H163" s="11"/>
      <c r="I163" s="11">
        <v>366</v>
      </c>
      <c r="J163" s="12" t="s">
        <v>84</v>
      </c>
      <c r="K163" s="16" t="s">
        <v>368</v>
      </c>
      <c r="L163" s="16"/>
      <c r="M163" s="17"/>
    </row>
    <row r="164" spans="1:13" ht="16.5" customHeight="1" x14ac:dyDescent="0.25">
      <c r="A164" s="9">
        <f t="shared" si="4"/>
        <v>161</v>
      </c>
      <c r="B164" s="10">
        <v>468</v>
      </c>
      <c r="C164" s="11" t="s">
        <v>56</v>
      </c>
      <c r="D164" s="11">
        <v>4980379</v>
      </c>
      <c r="E164" s="11" t="s">
        <v>7</v>
      </c>
      <c r="F164" s="11" t="s">
        <v>7</v>
      </c>
      <c r="G164" s="11" t="s">
        <v>325</v>
      </c>
      <c r="H164" s="11"/>
      <c r="I164" s="11">
        <v>366</v>
      </c>
      <c r="J164" s="12" t="s">
        <v>84</v>
      </c>
      <c r="K164" s="16" t="s">
        <v>368</v>
      </c>
      <c r="L164" s="16"/>
      <c r="M164" s="17"/>
    </row>
    <row r="165" spans="1:13" ht="16.5" customHeight="1" x14ac:dyDescent="0.25">
      <c r="A165" s="9">
        <f t="shared" ref="A165:A191" si="5">+A164+1</f>
        <v>162</v>
      </c>
      <c r="B165" s="10">
        <v>653</v>
      </c>
      <c r="C165" s="11" t="s">
        <v>92</v>
      </c>
      <c r="D165" s="11">
        <v>4980379</v>
      </c>
      <c r="E165" s="11" t="s">
        <v>7</v>
      </c>
      <c r="F165" s="11" t="s">
        <v>7</v>
      </c>
      <c r="G165" s="11" t="s">
        <v>325</v>
      </c>
      <c r="H165" s="11"/>
      <c r="I165" s="11">
        <v>366</v>
      </c>
      <c r="J165" s="12" t="s">
        <v>84</v>
      </c>
      <c r="K165" s="16" t="s">
        <v>368</v>
      </c>
      <c r="L165" s="16"/>
      <c r="M165" s="17"/>
    </row>
    <row r="166" spans="1:13" ht="16.5" customHeight="1" x14ac:dyDescent="0.25">
      <c r="A166" s="9">
        <f t="shared" si="5"/>
        <v>163</v>
      </c>
      <c r="B166" s="10">
        <v>970</v>
      </c>
      <c r="C166" s="11" t="s">
        <v>142</v>
      </c>
      <c r="D166" s="11">
        <v>4980904</v>
      </c>
      <c r="E166" s="11" t="s">
        <v>7</v>
      </c>
      <c r="F166" s="11" t="s">
        <v>7</v>
      </c>
      <c r="G166" s="11" t="s">
        <v>325</v>
      </c>
      <c r="H166" s="11"/>
      <c r="I166" s="11">
        <v>647</v>
      </c>
      <c r="J166" s="12" t="s">
        <v>84</v>
      </c>
      <c r="K166" s="16" t="s">
        <v>368</v>
      </c>
      <c r="L166" s="16"/>
      <c r="M166" s="17"/>
    </row>
    <row r="167" spans="1:13" ht="16.5" customHeight="1" x14ac:dyDescent="0.25">
      <c r="A167" s="9">
        <f t="shared" si="5"/>
        <v>164</v>
      </c>
      <c r="B167" s="10">
        <v>170</v>
      </c>
      <c r="C167" s="11" t="s">
        <v>12</v>
      </c>
      <c r="D167" s="11">
        <v>4980904</v>
      </c>
      <c r="E167" s="11" t="s">
        <v>7</v>
      </c>
      <c r="F167" s="11" t="s">
        <v>7</v>
      </c>
      <c r="G167" s="11" t="s">
        <v>325</v>
      </c>
      <c r="H167" s="11"/>
      <c r="I167" s="11">
        <v>647</v>
      </c>
      <c r="J167" s="12" t="s">
        <v>84</v>
      </c>
      <c r="K167" s="16" t="s">
        <v>368</v>
      </c>
      <c r="L167" s="16"/>
      <c r="M167" s="17"/>
    </row>
    <row r="168" spans="1:13" ht="16.5" customHeight="1" x14ac:dyDescent="0.25">
      <c r="A168" s="9">
        <f t="shared" si="5"/>
        <v>165</v>
      </c>
      <c r="B168" s="10">
        <v>660</v>
      </c>
      <c r="C168" s="11" t="s">
        <v>99</v>
      </c>
      <c r="D168" s="11">
        <v>4981609</v>
      </c>
      <c r="E168" s="11">
        <v>156929039</v>
      </c>
      <c r="F168" s="11" t="s">
        <v>7</v>
      </c>
      <c r="G168" s="11" t="s">
        <v>100</v>
      </c>
      <c r="H168" s="11"/>
      <c r="I168" s="11">
        <v>202</v>
      </c>
      <c r="J168" s="12" t="s">
        <v>84</v>
      </c>
      <c r="K168" s="16" t="s">
        <v>368</v>
      </c>
      <c r="L168" s="16"/>
      <c r="M168" s="17"/>
    </row>
    <row r="169" spans="1:13" ht="16.5" customHeight="1" x14ac:dyDescent="0.25">
      <c r="A169" s="9">
        <f t="shared" si="5"/>
        <v>166</v>
      </c>
      <c r="B169" s="10">
        <v>8287</v>
      </c>
      <c r="C169" s="11" t="s">
        <v>319</v>
      </c>
      <c r="D169" s="11">
        <v>4363986</v>
      </c>
      <c r="E169" s="11">
        <v>155709383</v>
      </c>
      <c r="F169" s="39"/>
      <c r="G169" s="11" t="s">
        <v>100</v>
      </c>
      <c r="H169" s="11" t="s">
        <v>392</v>
      </c>
      <c r="I169" s="11">
        <v>7980</v>
      </c>
      <c r="J169" s="12" t="s">
        <v>84</v>
      </c>
      <c r="K169" s="16" t="s">
        <v>368</v>
      </c>
      <c r="L169" s="16"/>
      <c r="M169" s="17"/>
    </row>
    <row r="170" spans="1:13" ht="16.5" customHeight="1" x14ac:dyDescent="0.25">
      <c r="A170" s="9">
        <f t="shared" si="5"/>
        <v>167</v>
      </c>
      <c r="B170" s="10">
        <v>8258</v>
      </c>
      <c r="C170" s="11" t="s">
        <v>279</v>
      </c>
      <c r="D170" s="11">
        <v>4360714</v>
      </c>
      <c r="E170" s="11">
        <v>156603112</v>
      </c>
      <c r="F170" s="11" t="s">
        <v>7</v>
      </c>
      <c r="G170" s="11" t="s">
        <v>100</v>
      </c>
      <c r="H170" s="11"/>
      <c r="I170" s="11">
        <v>8035</v>
      </c>
      <c r="J170" s="12" t="s">
        <v>84</v>
      </c>
      <c r="K170" s="16" t="s">
        <v>368</v>
      </c>
      <c r="L170" s="16" t="s">
        <v>436</v>
      </c>
      <c r="M170" s="17"/>
    </row>
    <row r="171" spans="1:13" ht="16.5" customHeight="1" x14ac:dyDescent="0.25">
      <c r="A171" s="9">
        <f t="shared" si="5"/>
        <v>168</v>
      </c>
      <c r="B171" s="10">
        <v>8282</v>
      </c>
      <c r="C171" s="11" t="s">
        <v>312</v>
      </c>
      <c r="D171" s="11">
        <v>4980262</v>
      </c>
      <c r="E171" s="11">
        <v>155766251</v>
      </c>
      <c r="F171" s="11" t="s">
        <v>7</v>
      </c>
      <c r="G171" s="11" t="s">
        <v>313</v>
      </c>
      <c r="H171" s="11"/>
      <c r="I171" s="11">
        <v>917</v>
      </c>
      <c r="J171" s="12" t="s">
        <v>84</v>
      </c>
      <c r="K171" s="16" t="s">
        <v>368</v>
      </c>
      <c r="L171" s="16" t="s">
        <v>436</v>
      </c>
      <c r="M171" s="17"/>
    </row>
    <row r="172" spans="1:13" ht="16.5" customHeight="1" x14ac:dyDescent="0.25">
      <c r="A172" s="9">
        <f t="shared" si="5"/>
        <v>169</v>
      </c>
      <c r="B172" s="10">
        <v>1098</v>
      </c>
      <c r="C172" s="11" t="s">
        <v>175</v>
      </c>
      <c r="D172" s="11">
        <v>4951273</v>
      </c>
      <c r="E172" s="11">
        <v>154728084</v>
      </c>
      <c r="F172" s="11" t="s">
        <v>7</v>
      </c>
      <c r="G172" s="11" t="s">
        <v>177</v>
      </c>
      <c r="H172" s="11"/>
      <c r="I172" s="11">
        <v>39</v>
      </c>
      <c r="J172" s="12" t="s">
        <v>84</v>
      </c>
      <c r="K172" s="16" t="s">
        <v>368</v>
      </c>
      <c r="L172" s="16" t="s">
        <v>436</v>
      </c>
      <c r="M172" s="17"/>
    </row>
    <row r="173" spans="1:13" ht="16.5" customHeight="1" x14ac:dyDescent="0.25">
      <c r="A173" s="9">
        <f t="shared" si="5"/>
        <v>170</v>
      </c>
      <c r="B173" s="10">
        <v>1288</v>
      </c>
      <c r="C173" s="11" t="s">
        <v>222</v>
      </c>
      <c r="D173" s="11">
        <v>4973986</v>
      </c>
      <c r="E173" s="11">
        <v>155259256</v>
      </c>
      <c r="F173" s="11" t="s">
        <v>7</v>
      </c>
      <c r="G173" s="11" t="s">
        <v>223</v>
      </c>
      <c r="H173" s="11"/>
      <c r="I173" s="11">
        <v>1473</v>
      </c>
      <c r="J173" s="12" t="s">
        <v>34</v>
      </c>
      <c r="K173" s="16" t="s">
        <v>368</v>
      </c>
      <c r="L173" s="16" t="s">
        <v>436</v>
      </c>
      <c r="M173" s="17"/>
    </row>
    <row r="174" spans="1:13" ht="16.5" customHeight="1" x14ac:dyDescent="0.25">
      <c r="A174" s="9">
        <f t="shared" si="5"/>
        <v>171</v>
      </c>
      <c r="B174" s="10">
        <v>470</v>
      </c>
      <c r="C174" s="11" t="s">
        <v>57</v>
      </c>
      <c r="D174" s="11">
        <v>4978711</v>
      </c>
      <c r="E174" s="11" t="s">
        <v>7</v>
      </c>
      <c r="F174" s="11" t="s">
        <v>7</v>
      </c>
      <c r="G174" s="11" t="s">
        <v>333</v>
      </c>
      <c r="H174" s="11"/>
      <c r="I174" s="11">
        <v>46</v>
      </c>
      <c r="J174" s="12" t="s">
        <v>34</v>
      </c>
      <c r="K174" s="16" t="s">
        <v>368</v>
      </c>
      <c r="L174" s="16"/>
      <c r="M174" s="17"/>
    </row>
    <row r="175" spans="1:13" ht="16.5" customHeight="1" x14ac:dyDescent="0.25">
      <c r="A175" s="9">
        <f t="shared" si="5"/>
        <v>172</v>
      </c>
      <c r="B175" s="10">
        <v>627</v>
      </c>
      <c r="C175" s="11" t="s">
        <v>86</v>
      </c>
      <c r="D175" s="11">
        <v>4972401</v>
      </c>
      <c r="E175" s="11" t="s">
        <v>7</v>
      </c>
      <c r="F175" s="11" t="s">
        <v>7</v>
      </c>
      <c r="G175" s="11" t="s">
        <v>87</v>
      </c>
      <c r="H175" s="11"/>
      <c r="I175" s="11"/>
      <c r="J175" s="12" t="s">
        <v>34</v>
      </c>
      <c r="K175" s="16" t="s">
        <v>368</v>
      </c>
      <c r="L175" s="16"/>
      <c r="M175" s="17"/>
    </row>
    <row r="176" spans="1:13" ht="16.5" customHeight="1" x14ac:dyDescent="0.25">
      <c r="A176" s="9">
        <f t="shared" si="5"/>
        <v>173</v>
      </c>
      <c r="B176" s="10">
        <v>8260</v>
      </c>
      <c r="C176" s="11" t="s">
        <v>371</v>
      </c>
      <c r="D176" s="11">
        <v>4814956</v>
      </c>
      <c r="E176" s="11"/>
      <c r="F176" s="11"/>
      <c r="G176" s="11" t="s">
        <v>372</v>
      </c>
      <c r="H176" s="11"/>
      <c r="I176" s="11">
        <v>737</v>
      </c>
      <c r="J176" s="12" t="s">
        <v>34</v>
      </c>
      <c r="K176" s="16" t="s">
        <v>368</v>
      </c>
      <c r="L176" s="16"/>
      <c r="M176" s="17"/>
    </row>
    <row r="177" spans="1:13" ht="16.5" customHeight="1" x14ac:dyDescent="0.25">
      <c r="A177" s="9">
        <f t="shared" si="5"/>
        <v>174</v>
      </c>
      <c r="B177" s="10">
        <v>537</v>
      </c>
      <c r="C177" s="11" t="s">
        <v>70</v>
      </c>
      <c r="D177" s="11">
        <v>4813917</v>
      </c>
      <c r="E177" s="11">
        <v>154859456</v>
      </c>
      <c r="F177" s="11">
        <v>154859456</v>
      </c>
      <c r="G177" s="11" t="s">
        <v>71</v>
      </c>
      <c r="H177" s="11"/>
      <c r="I177" s="11">
        <v>189</v>
      </c>
      <c r="J177" s="12" t="s">
        <v>34</v>
      </c>
      <c r="K177" s="16" t="s">
        <v>368</v>
      </c>
      <c r="L177" s="16"/>
      <c r="M177" s="17"/>
    </row>
    <row r="178" spans="1:13" ht="16.5" customHeight="1" x14ac:dyDescent="0.25">
      <c r="A178" s="9">
        <f t="shared" si="5"/>
        <v>175</v>
      </c>
      <c r="B178" s="10">
        <v>493</v>
      </c>
      <c r="C178" s="11" t="s">
        <v>61</v>
      </c>
      <c r="D178" s="11">
        <v>4973322</v>
      </c>
      <c r="E178" s="11" t="s">
        <v>7</v>
      </c>
      <c r="F178" s="11" t="s">
        <v>7</v>
      </c>
      <c r="G178" s="11" t="s">
        <v>336</v>
      </c>
      <c r="H178" s="11"/>
      <c r="I178" s="11">
        <v>1186</v>
      </c>
      <c r="J178" s="12" t="s">
        <v>34</v>
      </c>
      <c r="K178" s="16" t="s">
        <v>368</v>
      </c>
      <c r="L178" s="16"/>
      <c r="M178" s="17"/>
    </row>
    <row r="179" spans="1:13" ht="16.5" customHeight="1" x14ac:dyDescent="0.25">
      <c r="A179" s="9">
        <f t="shared" si="5"/>
        <v>176</v>
      </c>
      <c r="B179" s="10">
        <v>8254</v>
      </c>
      <c r="C179" s="11" t="s">
        <v>273</v>
      </c>
      <c r="D179" s="11">
        <v>4972727</v>
      </c>
      <c r="E179" s="11" t="s">
        <v>7</v>
      </c>
      <c r="F179" s="11" t="s">
        <v>7</v>
      </c>
      <c r="G179" s="11" t="s">
        <v>274</v>
      </c>
      <c r="H179" s="11"/>
      <c r="I179" s="11">
        <v>989</v>
      </c>
      <c r="J179" s="12" t="s">
        <v>34</v>
      </c>
      <c r="K179" s="16" t="s">
        <v>368</v>
      </c>
      <c r="L179" s="16"/>
      <c r="M179" s="17"/>
    </row>
    <row r="180" spans="1:13" ht="16.5" customHeight="1" x14ac:dyDescent="0.25">
      <c r="A180" s="9">
        <f t="shared" si="5"/>
        <v>177</v>
      </c>
      <c r="B180" s="10">
        <v>1367</v>
      </c>
      <c r="C180" s="11" t="s">
        <v>238</v>
      </c>
      <c r="D180" s="11">
        <v>4811887</v>
      </c>
      <c r="E180" s="11">
        <v>156365339</v>
      </c>
      <c r="F180" s="11">
        <v>156365339</v>
      </c>
      <c r="G180" s="11" t="s">
        <v>239</v>
      </c>
      <c r="H180" s="11"/>
      <c r="I180" s="11">
        <v>352</v>
      </c>
      <c r="J180" s="12" t="s">
        <v>34</v>
      </c>
      <c r="K180" s="16" t="s">
        <v>368</v>
      </c>
      <c r="L180" s="16"/>
      <c r="M180" s="17"/>
    </row>
    <row r="181" spans="1:13" ht="16.5" customHeight="1" x14ac:dyDescent="0.25">
      <c r="A181" s="9">
        <f t="shared" si="5"/>
        <v>178</v>
      </c>
      <c r="B181" s="10">
        <v>686</v>
      </c>
      <c r="C181" s="11" t="s">
        <v>101</v>
      </c>
      <c r="D181" s="11">
        <v>4270355</v>
      </c>
      <c r="E181" s="11" t="s">
        <v>7</v>
      </c>
      <c r="F181" s="11">
        <v>2615925016</v>
      </c>
      <c r="G181" s="11" t="s">
        <v>350</v>
      </c>
      <c r="H181" s="11"/>
      <c r="I181" s="11">
        <v>4000</v>
      </c>
      <c r="J181" s="12" t="s">
        <v>15</v>
      </c>
      <c r="K181" s="16" t="s">
        <v>368</v>
      </c>
      <c r="L181" s="16"/>
      <c r="M181" s="17"/>
    </row>
    <row r="182" spans="1:13" ht="16.5" customHeight="1" x14ac:dyDescent="0.25">
      <c r="A182" s="9">
        <f t="shared" si="5"/>
        <v>179</v>
      </c>
      <c r="B182" s="10">
        <v>1224</v>
      </c>
      <c r="C182" s="11" t="s">
        <v>203</v>
      </c>
      <c r="D182" s="11">
        <v>4456926</v>
      </c>
      <c r="E182" s="11">
        <v>156139606</v>
      </c>
      <c r="F182" s="11" t="s">
        <v>204</v>
      </c>
      <c r="G182" s="11" t="s">
        <v>24</v>
      </c>
      <c r="H182" s="11"/>
      <c r="I182" s="11">
        <v>742</v>
      </c>
      <c r="J182" s="12" t="s">
        <v>18</v>
      </c>
      <c r="K182" s="16" t="s">
        <v>368</v>
      </c>
      <c r="L182" s="16"/>
      <c r="M182" s="17"/>
    </row>
    <row r="183" spans="1:13" ht="16.5" customHeight="1" x14ac:dyDescent="0.25">
      <c r="A183" s="9">
        <f t="shared" si="5"/>
        <v>180</v>
      </c>
      <c r="B183" s="10">
        <v>192</v>
      </c>
      <c r="C183" s="11" t="s">
        <v>16</v>
      </c>
      <c r="D183" s="11">
        <v>4988664</v>
      </c>
      <c r="E183" s="11" t="s">
        <v>7</v>
      </c>
      <c r="F183" s="11" t="s">
        <v>7</v>
      </c>
      <c r="G183" s="11" t="s">
        <v>270</v>
      </c>
      <c r="H183" s="11"/>
      <c r="I183" s="11">
        <v>44</v>
      </c>
      <c r="J183" s="12" t="s">
        <v>84</v>
      </c>
      <c r="K183" s="16" t="s">
        <v>368</v>
      </c>
      <c r="L183" s="16"/>
      <c r="M183" s="17"/>
    </row>
    <row r="184" spans="1:13" ht="16.5" customHeight="1" x14ac:dyDescent="0.25">
      <c r="A184" s="9">
        <f t="shared" si="5"/>
        <v>181</v>
      </c>
      <c r="B184" s="10">
        <v>1094</v>
      </c>
      <c r="C184" s="11" t="s">
        <v>174</v>
      </c>
      <c r="D184" s="11">
        <v>4921199</v>
      </c>
      <c r="E184" s="11">
        <v>156629417</v>
      </c>
      <c r="F184" s="11" t="s">
        <v>7</v>
      </c>
      <c r="G184" s="11" t="s">
        <v>361</v>
      </c>
      <c r="H184" s="11" t="s">
        <v>407</v>
      </c>
      <c r="I184" s="11">
        <v>764</v>
      </c>
      <c r="J184" s="12" t="s">
        <v>34</v>
      </c>
      <c r="K184" s="16" t="s">
        <v>368</v>
      </c>
      <c r="L184" s="16"/>
      <c r="M184" s="17"/>
    </row>
    <row r="185" spans="1:13" ht="16.5" customHeight="1" x14ac:dyDescent="0.25">
      <c r="A185" s="9">
        <f t="shared" si="5"/>
        <v>182</v>
      </c>
      <c r="B185" s="10">
        <v>328</v>
      </c>
      <c r="C185" s="11" t="s">
        <v>33</v>
      </c>
      <c r="D185" s="11">
        <v>4811887</v>
      </c>
      <c r="E185" s="11" t="s">
        <v>7</v>
      </c>
      <c r="F185" s="11" t="s">
        <v>7</v>
      </c>
      <c r="G185" s="11" t="s">
        <v>239</v>
      </c>
      <c r="H185" s="11"/>
      <c r="I185" s="11">
        <v>352</v>
      </c>
      <c r="J185" s="12" t="s">
        <v>34</v>
      </c>
      <c r="K185" s="16" t="s">
        <v>368</v>
      </c>
      <c r="L185" s="16"/>
      <c r="M185" s="17"/>
    </row>
    <row r="186" spans="1:13" ht="16.5" customHeight="1" x14ac:dyDescent="0.25">
      <c r="A186" s="9">
        <f t="shared" si="5"/>
        <v>183</v>
      </c>
      <c r="B186" s="10">
        <v>1393</v>
      </c>
      <c r="C186" s="11" t="s">
        <v>244</v>
      </c>
      <c r="D186" s="11">
        <v>4952443</v>
      </c>
      <c r="E186" s="11">
        <v>154545384</v>
      </c>
      <c r="F186" s="11">
        <v>154545384</v>
      </c>
      <c r="G186" s="11" t="s">
        <v>245</v>
      </c>
      <c r="H186" s="11"/>
      <c r="I186" s="11">
        <v>8565</v>
      </c>
      <c r="J186" s="12" t="s">
        <v>34</v>
      </c>
      <c r="K186" s="16" t="s">
        <v>368</v>
      </c>
      <c r="L186" s="16" t="s">
        <v>436</v>
      </c>
      <c r="M186" s="17"/>
    </row>
    <row r="187" spans="1:13" ht="16.5" customHeight="1" x14ac:dyDescent="0.25">
      <c r="A187" s="9">
        <f t="shared" si="5"/>
        <v>184</v>
      </c>
      <c r="B187" s="10">
        <v>809</v>
      </c>
      <c r="C187" s="11" t="s">
        <v>119</v>
      </c>
      <c r="D187" s="11">
        <v>4952822</v>
      </c>
      <c r="E187" s="11">
        <v>156149068</v>
      </c>
      <c r="F187" s="11" t="s">
        <v>7</v>
      </c>
      <c r="G187" s="11" t="s">
        <v>120</v>
      </c>
      <c r="H187" s="11" t="s">
        <v>408</v>
      </c>
      <c r="I187" s="11"/>
      <c r="J187" s="12" t="s">
        <v>34</v>
      </c>
      <c r="K187" s="16" t="s">
        <v>368</v>
      </c>
      <c r="L187" s="16"/>
      <c r="M187" s="17"/>
    </row>
    <row r="188" spans="1:13" ht="16.5" customHeight="1" x14ac:dyDescent="0.25">
      <c r="A188" s="9">
        <f t="shared" si="5"/>
        <v>185</v>
      </c>
      <c r="B188" s="10">
        <v>1130</v>
      </c>
      <c r="C188" s="11" t="s">
        <v>184</v>
      </c>
      <c r="D188" s="11">
        <v>4972236</v>
      </c>
      <c r="E188" s="11">
        <v>155774256</v>
      </c>
      <c r="F188" s="11" t="s">
        <v>7</v>
      </c>
      <c r="G188" s="11" t="s">
        <v>135</v>
      </c>
      <c r="H188" s="11"/>
      <c r="I188" s="11">
        <v>395</v>
      </c>
      <c r="J188" s="12" t="s">
        <v>34</v>
      </c>
      <c r="K188" s="16" t="s">
        <v>368</v>
      </c>
      <c r="L188" s="16"/>
      <c r="M188" s="17"/>
    </row>
    <row r="189" spans="1:13" ht="16.5" customHeight="1" x14ac:dyDescent="0.25">
      <c r="A189" s="9">
        <f t="shared" si="5"/>
        <v>186</v>
      </c>
      <c r="B189" s="10">
        <v>1100</v>
      </c>
      <c r="C189" s="11" t="s">
        <v>176</v>
      </c>
      <c r="D189" s="11">
        <v>4951273</v>
      </c>
      <c r="E189" s="11">
        <v>154708353</v>
      </c>
      <c r="F189" s="24">
        <v>154708353</v>
      </c>
      <c r="G189" s="11" t="s">
        <v>177</v>
      </c>
      <c r="H189" s="11"/>
      <c r="I189" s="11">
        <v>39</v>
      </c>
      <c r="J189" s="12" t="s">
        <v>34</v>
      </c>
      <c r="K189" s="16" t="s">
        <v>368</v>
      </c>
      <c r="L189" s="16"/>
      <c r="M189" s="17"/>
    </row>
    <row r="190" spans="1:13" ht="16.5" customHeight="1" x14ac:dyDescent="0.25">
      <c r="A190" s="9">
        <f t="shared" si="5"/>
        <v>187</v>
      </c>
      <c r="B190" s="10">
        <v>1053</v>
      </c>
      <c r="C190" s="11" t="s">
        <v>157</v>
      </c>
      <c r="D190" s="11">
        <v>4810457</v>
      </c>
      <c r="E190" s="11">
        <v>155380174</v>
      </c>
      <c r="F190" s="11" t="s">
        <v>7</v>
      </c>
      <c r="G190" s="11" t="s">
        <v>359</v>
      </c>
      <c r="H190" s="11"/>
      <c r="I190" s="11">
        <v>1860</v>
      </c>
      <c r="J190" s="12" t="s">
        <v>34</v>
      </c>
      <c r="K190" s="16" t="s">
        <v>368</v>
      </c>
      <c r="L190" s="16" t="s">
        <v>436</v>
      </c>
      <c r="M190" s="17"/>
    </row>
    <row r="191" spans="1:13" ht="16.5" customHeight="1" x14ac:dyDescent="0.25">
      <c r="A191" s="9">
        <f t="shared" si="5"/>
        <v>188</v>
      </c>
      <c r="B191" s="10">
        <v>8260</v>
      </c>
      <c r="C191" s="11" t="s">
        <v>282</v>
      </c>
      <c r="D191" s="11">
        <v>4972398</v>
      </c>
      <c r="E191" s="11">
        <v>156801220</v>
      </c>
      <c r="F191" s="11" t="s">
        <v>7</v>
      </c>
      <c r="G191" s="11" t="s">
        <v>283</v>
      </c>
      <c r="H191" s="11"/>
      <c r="I191" s="11">
        <v>90</v>
      </c>
      <c r="J191" s="12" t="s">
        <v>34</v>
      </c>
      <c r="K191" s="16" t="s">
        <v>368</v>
      </c>
      <c r="L191" s="16"/>
      <c r="M191" s="17"/>
    </row>
    <row r="192" spans="1:13" ht="16.5" customHeight="1" x14ac:dyDescent="0.25">
      <c r="A192" s="47">
        <v>1</v>
      </c>
      <c r="B192" s="19">
        <v>8261</v>
      </c>
      <c r="C192" s="20" t="s">
        <v>284</v>
      </c>
      <c r="D192" s="20">
        <v>4298010</v>
      </c>
      <c r="E192" s="20">
        <v>155650491</v>
      </c>
      <c r="F192" s="20" t="s">
        <v>7</v>
      </c>
      <c r="G192" s="20" t="s">
        <v>260</v>
      </c>
      <c r="H192" s="20"/>
      <c r="I192" s="20">
        <v>175</v>
      </c>
      <c r="J192" s="21" t="s">
        <v>8</v>
      </c>
      <c r="K192" s="22"/>
      <c r="L192" s="22" t="s">
        <v>374</v>
      </c>
      <c r="M192" s="17"/>
    </row>
    <row r="193" spans="1:13" ht="16.5" customHeight="1" x14ac:dyDescent="0.25">
      <c r="A193" s="47">
        <f t="shared" ref="A193:A199" si="6">+A192+1</f>
        <v>2</v>
      </c>
      <c r="B193" s="19">
        <v>1415</v>
      </c>
      <c r="C193" s="20" t="s">
        <v>246</v>
      </c>
      <c r="D193" s="20">
        <v>263</v>
      </c>
      <c r="E193" s="20">
        <v>263154508</v>
      </c>
      <c r="F193" s="20">
        <v>2631545089</v>
      </c>
      <c r="G193" s="20" t="s">
        <v>14</v>
      </c>
      <c r="H193" s="20"/>
      <c r="I193" s="20">
        <v>360</v>
      </c>
      <c r="J193" s="21" t="s">
        <v>410</v>
      </c>
      <c r="K193" s="22"/>
      <c r="L193" s="22"/>
      <c r="M193" s="17"/>
    </row>
    <row r="194" spans="1:13" ht="16.5" customHeight="1" x14ac:dyDescent="0.25">
      <c r="A194" s="47">
        <f t="shared" si="6"/>
        <v>3</v>
      </c>
      <c r="B194" s="19">
        <v>1055</v>
      </c>
      <c r="C194" s="20" t="s">
        <v>158</v>
      </c>
      <c r="D194" s="20">
        <v>4212091</v>
      </c>
      <c r="E194" s="20" t="s">
        <v>7</v>
      </c>
      <c r="F194" s="20" t="s">
        <v>7</v>
      </c>
      <c r="G194" s="20" t="s">
        <v>159</v>
      </c>
      <c r="H194" s="20"/>
      <c r="I194" s="20"/>
      <c r="J194" s="21" t="s">
        <v>18</v>
      </c>
      <c r="K194" s="22"/>
      <c r="L194" s="22"/>
      <c r="M194" s="17"/>
    </row>
    <row r="195" spans="1:13" ht="16.5" customHeight="1" x14ac:dyDescent="0.25">
      <c r="A195" s="47">
        <f t="shared" si="6"/>
        <v>4</v>
      </c>
      <c r="B195" s="19">
        <v>1101</v>
      </c>
      <c r="C195" s="20" t="s">
        <v>178</v>
      </c>
      <c r="D195" s="20">
        <v>4941092</v>
      </c>
      <c r="E195" s="20" t="s">
        <v>7</v>
      </c>
      <c r="F195" s="20" t="s">
        <v>7</v>
      </c>
      <c r="G195" s="20" t="s">
        <v>362</v>
      </c>
      <c r="H195" s="20"/>
      <c r="I195" s="20">
        <v>119</v>
      </c>
      <c r="J195" s="21" t="s">
        <v>45</v>
      </c>
      <c r="K195" s="22"/>
      <c r="L195" s="22"/>
      <c r="M195" s="17"/>
    </row>
    <row r="196" spans="1:13" ht="16.5" customHeight="1" x14ac:dyDescent="0.25">
      <c r="A196" s="47">
        <f t="shared" si="6"/>
        <v>5</v>
      </c>
      <c r="B196" s="19">
        <v>8272</v>
      </c>
      <c r="C196" s="20" t="s">
        <v>299</v>
      </c>
      <c r="D196" s="20">
        <v>4962344</v>
      </c>
      <c r="E196" s="20">
        <v>154859064</v>
      </c>
      <c r="F196" s="20" t="s">
        <v>7</v>
      </c>
      <c r="G196" s="20" t="s">
        <v>300</v>
      </c>
      <c r="H196" s="20"/>
      <c r="I196" s="20">
        <v>2096</v>
      </c>
      <c r="J196" s="21" t="s">
        <v>435</v>
      </c>
      <c r="K196" s="22" t="s">
        <v>433</v>
      </c>
      <c r="L196" s="22" t="s">
        <v>434</v>
      </c>
      <c r="M196" s="17"/>
    </row>
    <row r="197" spans="1:13" ht="16.5" customHeight="1" x14ac:dyDescent="0.25">
      <c r="A197" s="47">
        <f t="shared" si="6"/>
        <v>6</v>
      </c>
      <c r="B197" s="19">
        <v>609</v>
      </c>
      <c r="C197" s="20" t="s">
        <v>83</v>
      </c>
      <c r="D197" s="20">
        <v>4962344</v>
      </c>
      <c r="E197" s="20">
        <v>2614859064</v>
      </c>
      <c r="F197" s="20" t="s">
        <v>7</v>
      </c>
      <c r="G197" s="20" t="s">
        <v>300</v>
      </c>
      <c r="H197" s="20"/>
      <c r="I197" s="20">
        <v>2096</v>
      </c>
      <c r="J197" s="21" t="s">
        <v>84</v>
      </c>
      <c r="K197" s="22"/>
      <c r="L197" s="22"/>
      <c r="M197" s="17"/>
    </row>
    <row r="198" spans="1:13" ht="16.5" customHeight="1" x14ac:dyDescent="0.25">
      <c r="A198" s="47">
        <f t="shared" si="6"/>
        <v>7</v>
      </c>
      <c r="B198" s="19">
        <v>832</v>
      </c>
      <c r="C198" s="20" t="s">
        <v>124</v>
      </c>
      <c r="D198" s="20">
        <v>4932241</v>
      </c>
      <c r="E198" s="20" t="s">
        <v>7</v>
      </c>
      <c r="F198" s="20">
        <v>2612493103</v>
      </c>
      <c r="G198" s="20" t="s">
        <v>355</v>
      </c>
      <c r="H198" s="20"/>
      <c r="I198" s="20">
        <v>1841</v>
      </c>
      <c r="J198" s="21" t="s">
        <v>34</v>
      </c>
      <c r="K198" s="22"/>
      <c r="L198" s="22" t="s">
        <v>406</v>
      </c>
      <c r="M198" s="17"/>
    </row>
    <row r="199" spans="1:13" ht="16.5" customHeight="1" thickBot="1" x14ac:dyDescent="0.3">
      <c r="A199" s="47">
        <f t="shared" si="6"/>
        <v>8</v>
      </c>
      <c r="B199" s="19">
        <v>8279</v>
      </c>
      <c r="C199" s="20" t="s">
        <v>308</v>
      </c>
      <c r="D199" s="20">
        <v>2147483647</v>
      </c>
      <c r="E199" s="20">
        <v>2615609864</v>
      </c>
      <c r="F199" s="20" t="s">
        <v>7</v>
      </c>
      <c r="G199" s="20" t="s">
        <v>309</v>
      </c>
      <c r="H199" s="20" t="s">
        <v>409</v>
      </c>
      <c r="I199" s="20">
        <v>11</v>
      </c>
      <c r="J199" s="21" t="s">
        <v>413</v>
      </c>
      <c r="K199" s="22"/>
      <c r="L199" s="22"/>
      <c r="M199" s="17"/>
    </row>
    <row r="200" spans="1:13" ht="16.5" customHeight="1" thickTop="1" thickBot="1" x14ac:dyDescent="0.35">
      <c r="A200" s="48">
        <v>1</v>
      </c>
      <c r="B200" s="28">
        <v>1302</v>
      </c>
      <c r="C200" s="29" t="s">
        <v>227</v>
      </c>
      <c r="D200" s="29">
        <v>4274530</v>
      </c>
      <c r="E200" s="29">
        <v>156945253</v>
      </c>
      <c r="F200" s="29" t="s">
        <v>228</v>
      </c>
      <c r="G200" s="29" t="s">
        <v>229</v>
      </c>
      <c r="H200" s="29"/>
      <c r="I200" s="29">
        <v>97</v>
      </c>
      <c r="J200" s="30" t="s">
        <v>8</v>
      </c>
      <c r="K200" s="37" t="s">
        <v>385</v>
      </c>
      <c r="L200" s="32"/>
      <c r="M200" s="17"/>
    </row>
    <row r="201" spans="1:13" ht="16.5" customHeight="1" thickTop="1" thickBot="1" x14ac:dyDescent="0.3">
      <c r="A201" s="48">
        <f t="shared" ref="A201:A225" si="7">+A200+1</f>
        <v>2</v>
      </c>
      <c r="B201" s="33">
        <v>8162</v>
      </c>
      <c r="C201" s="34" t="s">
        <v>253</v>
      </c>
      <c r="D201" s="34">
        <v>4246352</v>
      </c>
      <c r="E201" s="34" t="s">
        <v>7</v>
      </c>
      <c r="F201" s="34" t="s">
        <v>7</v>
      </c>
      <c r="G201" s="34" t="s">
        <v>363</v>
      </c>
      <c r="H201" s="34"/>
      <c r="I201" s="34">
        <v>89</v>
      </c>
      <c r="J201" s="35" t="s">
        <v>8</v>
      </c>
      <c r="K201" s="37" t="s">
        <v>385</v>
      </c>
      <c r="L201" s="36"/>
      <c r="M201" s="17"/>
    </row>
    <row r="202" spans="1:13" ht="16.5" customHeight="1" thickTop="1" thickBot="1" x14ac:dyDescent="0.35">
      <c r="A202" s="48">
        <f t="shared" si="7"/>
        <v>3</v>
      </c>
      <c r="B202" s="28">
        <v>8227</v>
      </c>
      <c r="C202" s="29" t="s">
        <v>268</v>
      </c>
      <c r="D202" s="29" t="s">
        <v>148</v>
      </c>
      <c r="E202" s="29" t="s">
        <v>7</v>
      </c>
      <c r="F202" s="29" t="s">
        <v>7</v>
      </c>
      <c r="G202" s="29" t="s">
        <v>45</v>
      </c>
      <c r="H202" s="29"/>
      <c r="I202" s="29">
        <v>441</v>
      </c>
      <c r="J202" s="30" t="s">
        <v>8</v>
      </c>
      <c r="K202" s="37" t="s">
        <v>385</v>
      </c>
      <c r="L202" s="32"/>
      <c r="M202" s="17"/>
    </row>
    <row r="203" spans="1:13" ht="16.5" customHeight="1" thickTop="1" thickBot="1" x14ac:dyDescent="0.35">
      <c r="A203" s="48">
        <f t="shared" si="7"/>
        <v>4</v>
      </c>
      <c r="B203" s="28">
        <v>8265</v>
      </c>
      <c r="C203" s="29" t="s">
        <v>289</v>
      </c>
      <c r="D203" s="29">
        <v>4240060</v>
      </c>
      <c r="E203" s="29">
        <v>155093424</v>
      </c>
      <c r="F203" s="29" t="s">
        <v>7</v>
      </c>
      <c r="G203" s="29" t="s">
        <v>98</v>
      </c>
      <c r="H203" s="29"/>
      <c r="I203" s="29">
        <v>205</v>
      </c>
      <c r="J203" s="30" t="s">
        <v>8</v>
      </c>
      <c r="K203" s="37" t="s">
        <v>385</v>
      </c>
      <c r="L203" s="32"/>
      <c r="M203" s="17"/>
    </row>
    <row r="204" spans="1:13" ht="16.5" customHeight="1" thickTop="1" thickBot="1" x14ac:dyDescent="0.3">
      <c r="A204" s="48">
        <f t="shared" si="7"/>
        <v>5</v>
      </c>
      <c r="B204" s="33">
        <v>330</v>
      </c>
      <c r="C204" s="34" t="s">
        <v>35</v>
      </c>
      <c r="D204" s="34">
        <v>4296967</v>
      </c>
      <c r="E204" s="34">
        <v>155780878</v>
      </c>
      <c r="F204" s="34">
        <v>155780878</v>
      </c>
      <c r="G204" s="34" t="s">
        <v>36</v>
      </c>
      <c r="H204" s="34"/>
      <c r="I204" s="34">
        <v>851</v>
      </c>
      <c r="J204" s="35" t="s">
        <v>8</v>
      </c>
      <c r="K204" s="37" t="s">
        <v>385</v>
      </c>
      <c r="L204" s="36"/>
      <c r="M204" s="17"/>
    </row>
    <row r="205" spans="1:13" ht="16.5" customHeight="1" thickTop="1" thickBot="1" x14ac:dyDescent="0.35">
      <c r="A205" s="48">
        <f t="shared" si="7"/>
        <v>6</v>
      </c>
      <c r="B205" s="28">
        <v>639</v>
      </c>
      <c r="C205" s="29" t="s">
        <v>91</v>
      </c>
      <c r="D205" s="29">
        <v>4311187</v>
      </c>
      <c r="E205" s="29" t="s">
        <v>7</v>
      </c>
      <c r="F205" s="29" t="s">
        <v>7</v>
      </c>
      <c r="G205" s="29" t="s">
        <v>195</v>
      </c>
      <c r="H205" s="29"/>
      <c r="I205" s="29">
        <v>615</v>
      </c>
      <c r="J205" s="30" t="s">
        <v>18</v>
      </c>
      <c r="K205" s="37" t="s">
        <v>385</v>
      </c>
      <c r="L205" s="31"/>
      <c r="M205" s="17"/>
    </row>
    <row r="206" spans="1:13" ht="16.5" customHeight="1" thickTop="1" thickBot="1" x14ac:dyDescent="0.35">
      <c r="A206" s="48">
        <f t="shared" si="7"/>
        <v>7</v>
      </c>
      <c r="B206" s="28">
        <v>1058</v>
      </c>
      <c r="C206" s="29" t="s">
        <v>160</v>
      </c>
      <c r="D206" s="29">
        <v>4913025</v>
      </c>
      <c r="E206" s="29">
        <v>155162802</v>
      </c>
      <c r="F206" s="29" t="s">
        <v>7</v>
      </c>
      <c r="G206" s="29" t="s">
        <v>161</v>
      </c>
      <c r="H206" s="29"/>
      <c r="I206" s="29">
        <v>248</v>
      </c>
      <c r="J206" s="30" t="s">
        <v>18</v>
      </c>
      <c r="K206" s="37" t="s">
        <v>385</v>
      </c>
      <c r="L206" s="31"/>
      <c r="M206" s="17"/>
    </row>
    <row r="207" spans="1:13" ht="16.5" customHeight="1" thickTop="1" thickBot="1" x14ac:dyDescent="0.35">
      <c r="A207" s="48">
        <f t="shared" si="7"/>
        <v>8</v>
      </c>
      <c r="B207" s="28">
        <v>220</v>
      </c>
      <c r="C207" s="29" t="s">
        <v>19</v>
      </c>
      <c r="D207" s="29">
        <v>4820182</v>
      </c>
      <c r="E207" s="29" t="s">
        <v>7</v>
      </c>
      <c r="F207" s="29" t="s">
        <v>7</v>
      </c>
      <c r="G207" s="29" t="s">
        <v>20</v>
      </c>
      <c r="H207" s="29"/>
      <c r="I207" s="29">
        <v>1233</v>
      </c>
      <c r="J207" s="30" t="s">
        <v>18</v>
      </c>
      <c r="K207" s="37" t="s">
        <v>385</v>
      </c>
      <c r="L207" s="31"/>
      <c r="M207" s="17"/>
    </row>
    <row r="208" spans="1:13" ht="16.5" customHeight="1" thickTop="1" thickBot="1" x14ac:dyDescent="0.35">
      <c r="A208" s="48">
        <f t="shared" si="7"/>
        <v>9</v>
      </c>
      <c r="B208" s="28">
        <v>1378</v>
      </c>
      <c r="C208" s="29" t="s">
        <v>242</v>
      </c>
      <c r="D208" s="29">
        <v>4974418</v>
      </c>
      <c r="E208" s="29">
        <v>156677904</v>
      </c>
      <c r="F208" s="29">
        <v>2616677904</v>
      </c>
      <c r="G208" s="29" t="s">
        <v>243</v>
      </c>
      <c r="H208" s="29"/>
      <c r="I208" s="29">
        <v>2435</v>
      </c>
      <c r="J208" s="30" t="s">
        <v>34</v>
      </c>
      <c r="K208" s="37" t="s">
        <v>385</v>
      </c>
      <c r="L208" s="32"/>
      <c r="M208" s="17"/>
    </row>
    <row r="209" spans="1:13" ht="16.5" customHeight="1" thickTop="1" thickBot="1" x14ac:dyDescent="0.3">
      <c r="A209" s="48">
        <f t="shared" si="7"/>
        <v>10</v>
      </c>
      <c r="B209" s="40">
        <v>565</v>
      </c>
      <c r="C209" s="41" t="s">
        <v>77</v>
      </c>
      <c r="D209" s="41">
        <v>4294969</v>
      </c>
      <c r="E209" s="41" t="s">
        <v>7</v>
      </c>
      <c r="F209" s="41" t="s">
        <v>7</v>
      </c>
      <c r="G209" s="41" t="s">
        <v>346</v>
      </c>
      <c r="H209" s="41"/>
      <c r="I209" s="41">
        <v>3009</v>
      </c>
      <c r="J209" s="41" t="s">
        <v>8</v>
      </c>
      <c r="K209" s="42" t="s">
        <v>385</v>
      </c>
      <c r="L209" s="42"/>
      <c r="M209" s="17"/>
    </row>
    <row r="210" spans="1:13" ht="16.5" customHeight="1" thickTop="1" thickBot="1" x14ac:dyDescent="0.3">
      <c r="A210" s="48">
        <f t="shared" si="7"/>
        <v>11</v>
      </c>
      <c r="B210" s="40">
        <v>760</v>
      </c>
      <c r="C210" s="41" t="s">
        <v>112</v>
      </c>
      <c r="D210" s="41">
        <v>4258928</v>
      </c>
      <c r="E210" s="41" t="s">
        <v>7</v>
      </c>
      <c r="F210" s="41" t="s">
        <v>7</v>
      </c>
      <c r="G210" s="41" t="s">
        <v>113</v>
      </c>
      <c r="H210" s="41"/>
      <c r="I210" s="41">
        <v>1585</v>
      </c>
      <c r="J210" s="41" t="s">
        <v>8</v>
      </c>
      <c r="K210" s="42" t="s">
        <v>385</v>
      </c>
      <c r="L210" s="42"/>
      <c r="M210" s="17"/>
    </row>
    <row r="211" spans="1:13" ht="16.5" customHeight="1" thickTop="1" thickBot="1" x14ac:dyDescent="0.3">
      <c r="A211" s="48">
        <f t="shared" si="7"/>
        <v>12</v>
      </c>
      <c r="B211" s="40">
        <v>8222</v>
      </c>
      <c r="C211" s="41" t="s">
        <v>267</v>
      </c>
      <c r="D211" s="41">
        <v>4258011</v>
      </c>
      <c r="E211" s="41" t="s">
        <v>7</v>
      </c>
      <c r="F211" s="41" t="s">
        <v>7</v>
      </c>
      <c r="G211" s="41" t="s">
        <v>248</v>
      </c>
      <c r="H211" s="41"/>
      <c r="I211" s="41">
        <v>1519</v>
      </c>
      <c r="J211" s="41" t="s">
        <v>8</v>
      </c>
      <c r="K211" s="42" t="s">
        <v>385</v>
      </c>
      <c r="L211" s="42"/>
      <c r="M211" s="17"/>
    </row>
    <row r="212" spans="1:13" ht="16.5" customHeight="1" thickTop="1" thickBot="1" x14ac:dyDescent="0.3">
      <c r="A212" s="48">
        <f t="shared" si="7"/>
        <v>13</v>
      </c>
      <c r="B212" s="40">
        <v>8175</v>
      </c>
      <c r="C212" s="41" t="s">
        <v>259</v>
      </c>
      <c r="D212" s="41">
        <v>4201615</v>
      </c>
      <c r="E212" s="41">
        <v>153056402</v>
      </c>
      <c r="F212" s="41" t="s">
        <v>7</v>
      </c>
      <c r="G212" s="41" t="s">
        <v>260</v>
      </c>
      <c r="H212" s="41"/>
      <c r="I212" s="41">
        <v>498</v>
      </c>
      <c r="J212" s="41" t="s">
        <v>8</v>
      </c>
      <c r="K212" s="42" t="s">
        <v>385</v>
      </c>
      <c r="L212" s="42"/>
      <c r="M212" s="17"/>
    </row>
    <row r="213" spans="1:13" ht="16.5" customHeight="1" thickTop="1" thickBot="1" x14ac:dyDescent="0.3">
      <c r="A213" s="48">
        <f t="shared" si="7"/>
        <v>14</v>
      </c>
      <c r="B213" s="40">
        <v>1317</v>
      </c>
      <c r="C213" s="41" t="s">
        <v>232</v>
      </c>
      <c r="D213" s="41">
        <v>4059000</v>
      </c>
      <c r="E213" s="41">
        <v>156927320</v>
      </c>
      <c r="F213" s="41">
        <v>155657433</v>
      </c>
      <c r="G213" s="41" t="s">
        <v>137</v>
      </c>
      <c r="H213" s="41"/>
      <c r="I213" s="41">
        <v>63</v>
      </c>
      <c r="J213" s="41" t="s">
        <v>8</v>
      </c>
      <c r="K213" s="42" t="s">
        <v>385</v>
      </c>
      <c r="L213" s="42"/>
      <c r="M213" s="17"/>
    </row>
    <row r="214" spans="1:13" ht="16.5" customHeight="1" thickTop="1" thickBot="1" x14ac:dyDescent="0.3">
      <c r="A214" s="48">
        <f t="shared" si="7"/>
        <v>15</v>
      </c>
      <c r="B214" s="40">
        <v>269</v>
      </c>
      <c r="C214" s="41" t="s">
        <v>31</v>
      </c>
      <c r="D214" s="41">
        <v>4239243</v>
      </c>
      <c r="E214" s="41">
        <v>155184001</v>
      </c>
      <c r="F214" s="41" t="s">
        <v>7</v>
      </c>
      <c r="G214" s="41" t="s">
        <v>327</v>
      </c>
      <c r="H214" s="41"/>
      <c r="I214" s="41">
        <v>565</v>
      </c>
      <c r="J214" s="41" t="s">
        <v>8</v>
      </c>
      <c r="K214" s="42" t="s">
        <v>385</v>
      </c>
      <c r="L214" s="42"/>
      <c r="M214" s="17"/>
    </row>
    <row r="215" spans="1:13" ht="16.5" customHeight="1" thickTop="1" thickBot="1" x14ac:dyDescent="0.3">
      <c r="A215" s="48">
        <f t="shared" si="7"/>
        <v>16</v>
      </c>
      <c r="B215" s="40">
        <v>551</v>
      </c>
      <c r="C215" s="41" t="s">
        <v>72</v>
      </c>
      <c r="D215" s="41">
        <v>4234159</v>
      </c>
      <c r="E215" s="41" t="s">
        <v>7</v>
      </c>
      <c r="F215" s="41" t="s">
        <v>7</v>
      </c>
      <c r="G215" s="41" t="s">
        <v>73</v>
      </c>
      <c r="H215" s="41"/>
      <c r="I215" s="41">
        <v>1658</v>
      </c>
      <c r="J215" s="41" t="s">
        <v>8</v>
      </c>
      <c r="K215" s="42" t="s">
        <v>385</v>
      </c>
      <c r="L215" s="42"/>
      <c r="M215" s="17"/>
    </row>
    <row r="216" spans="1:13" ht="16.5" customHeight="1" thickTop="1" thickBot="1" x14ac:dyDescent="0.3">
      <c r="A216" s="48">
        <f t="shared" si="7"/>
        <v>17</v>
      </c>
      <c r="B216" s="40">
        <v>1292</v>
      </c>
      <c r="C216" s="41" t="s">
        <v>224</v>
      </c>
      <c r="D216" s="41">
        <v>4122108</v>
      </c>
      <c r="E216" s="41">
        <v>154172080</v>
      </c>
      <c r="F216" s="41" t="s">
        <v>225</v>
      </c>
      <c r="G216" s="41" t="s">
        <v>14</v>
      </c>
      <c r="H216" s="41"/>
      <c r="I216" s="41">
        <v>2520</v>
      </c>
      <c r="J216" s="41" t="s">
        <v>8</v>
      </c>
      <c r="K216" s="42" t="s">
        <v>385</v>
      </c>
      <c r="L216" s="42"/>
      <c r="M216" s="17"/>
    </row>
    <row r="217" spans="1:13" ht="16.5" customHeight="1" thickTop="1" thickBot="1" x14ac:dyDescent="0.3">
      <c r="A217" s="48">
        <f t="shared" si="7"/>
        <v>18</v>
      </c>
      <c r="B217" s="40">
        <v>1161</v>
      </c>
      <c r="C217" s="41" t="s">
        <v>191</v>
      </c>
      <c r="D217" s="41">
        <v>4254606</v>
      </c>
      <c r="E217" s="41">
        <v>155034145</v>
      </c>
      <c r="F217" s="41">
        <v>155034145</v>
      </c>
      <c r="G217" s="41" t="s">
        <v>135</v>
      </c>
      <c r="H217" s="43" t="s">
        <v>364</v>
      </c>
      <c r="I217" s="41">
        <v>632</v>
      </c>
      <c r="J217" s="41" t="s">
        <v>8</v>
      </c>
      <c r="K217" s="42" t="s">
        <v>385</v>
      </c>
      <c r="L217" s="42"/>
      <c r="M217" s="17"/>
    </row>
    <row r="218" spans="1:13" ht="16.5" customHeight="1" thickTop="1" thickBot="1" x14ac:dyDescent="0.3">
      <c r="A218" s="48">
        <f t="shared" si="7"/>
        <v>19</v>
      </c>
      <c r="B218" s="40">
        <v>246</v>
      </c>
      <c r="C218" s="41" t="s">
        <v>26</v>
      </c>
      <c r="D218" s="41">
        <v>4393963</v>
      </c>
      <c r="E218" s="41">
        <v>155043255</v>
      </c>
      <c r="F218" s="41" t="s">
        <v>7</v>
      </c>
      <c r="G218" s="41" t="s">
        <v>328</v>
      </c>
      <c r="H218" s="41"/>
      <c r="I218" s="41">
        <v>10</v>
      </c>
      <c r="J218" s="41" t="s">
        <v>15</v>
      </c>
      <c r="K218" s="42" t="s">
        <v>385</v>
      </c>
      <c r="L218" s="42"/>
      <c r="M218" s="17"/>
    </row>
    <row r="219" spans="1:13" ht="16.5" customHeight="1" thickTop="1" thickBot="1" x14ac:dyDescent="0.3">
      <c r="A219" s="48">
        <f t="shared" si="7"/>
        <v>20</v>
      </c>
      <c r="B219" s="40">
        <v>1075</v>
      </c>
      <c r="C219" s="41" t="s">
        <v>164</v>
      </c>
      <c r="D219" s="41" t="s">
        <v>148</v>
      </c>
      <c r="E219" s="41" t="s">
        <v>7</v>
      </c>
      <c r="F219" s="41" t="s">
        <v>7</v>
      </c>
      <c r="G219" s="41" t="s">
        <v>165</v>
      </c>
      <c r="H219" s="41"/>
      <c r="I219" s="41">
        <v>3715</v>
      </c>
      <c r="J219" s="41" t="s">
        <v>18</v>
      </c>
      <c r="K219" s="42" t="s">
        <v>385</v>
      </c>
      <c r="L219" s="42"/>
      <c r="M219" s="17"/>
    </row>
    <row r="220" spans="1:13" ht="16.5" customHeight="1" thickTop="1" thickBot="1" x14ac:dyDescent="0.3">
      <c r="A220" s="48">
        <f t="shared" si="7"/>
        <v>21</v>
      </c>
      <c r="B220" s="40">
        <v>218</v>
      </c>
      <c r="C220" s="41" t="s">
        <v>17</v>
      </c>
      <c r="D220" s="41">
        <v>4454805</v>
      </c>
      <c r="E220" s="41" t="s">
        <v>7</v>
      </c>
      <c r="F220" s="41" t="s">
        <v>7</v>
      </c>
      <c r="G220" s="41" t="s">
        <v>326</v>
      </c>
      <c r="H220" s="41"/>
      <c r="I220" s="41">
        <v>1908</v>
      </c>
      <c r="J220" s="41" t="s">
        <v>18</v>
      </c>
      <c r="K220" s="42" t="s">
        <v>385</v>
      </c>
      <c r="L220" s="42"/>
      <c r="M220" s="17"/>
    </row>
    <row r="221" spans="1:13" ht="16.5" customHeight="1" thickTop="1" thickBot="1" x14ac:dyDescent="0.3">
      <c r="A221" s="48">
        <f t="shared" si="7"/>
        <v>22</v>
      </c>
      <c r="B221" s="45">
        <v>1203</v>
      </c>
      <c r="C221" s="46" t="s">
        <v>196</v>
      </c>
      <c r="D221" s="46">
        <v>4521932</v>
      </c>
      <c r="E221" s="46">
        <v>154701103</v>
      </c>
      <c r="F221" s="46">
        <v>154701103</v>
      </c>
      <c r="G221" s="46" t="s">
        <v>197</v>
      </c>
      <c r="H221" s="46" t="s">
        <v>198</v>
      </c>
      <c r="I221" s="44"/>
      <c r="J221" s="46" t="s">
        <v>15</v>
      </c>
      <c r="K221" s="37" t="s">
        <v>415</v>
      </c>
      <c r="L221" s="37"/>
      <c r="M221" s="17"/>
    </row>
    <row r="222" spans="1:13" ht="16.5" customHeight="1" thickTop="1" thickBot="1" x14ac:dyDescent="0.3">
      <c r="A222" s="48">
        <f t="shared" si="7"/>
        <v>23</v>
      </c>
      <c r="B222" s="45">
        <v>656</v>
      </c>
      <c r="C222" s="46" t="s">
        <v>95</v>
      </c>
      <c r="D222" s="46">
        <v>4244158</v>
      </c>
      <c r="E222" s="46" t="s">
        <v>7</v>
      </c>
      <c r="F222" s="46" t="s">
        <v>7</v>
      </c>
      <c r="G222" s="46" t="s">
        <v>349</v>
      </c>
      <c r="H222" s="46"/>
      <c r="I222" s="46">
        <v>4760</v>
      </c>
      <c r="J222" s="46" t="s">
        <v>8</v>
      </c>
      <c r="K222" s="37" t="s">
        <v>385</v>
      </c>
      <c r="L222" s="37"/>
      <c r="M222" s="17"/>
    </row>
    <row r="223" spans="1:13" ht="16.5" customHeight="1" thickTop="1" thickBot="1" x14ac:dyDescent="0.3">
      <c r="A223" s="48">
        <f t="shared" si="7"/>
        <v>24</v>
      </c>
      <c r="B223" s="45">
        <v>1102</v>
      </c>
      <c r="C223" s="46" t="s">
        <v>412</v>
      </c>
      <c r="D223" s="46">
        <v>4243973</v>
      </c>
      <c r="E223" s="46" t="s">
        <v>179</v>
      </c>
      <c r="F223" s="46">
        <v>156920891</v>
      </c>
      <c r="G223" s="46" t="s">
        <v>14</v>
      </c>
      <c r="H223" s="46"/>
      <c r="I223" s="46">
        <v>1440</v>
      </c>
      <c r="J223" s="46" t="s">
        <v>15</v>
      </c>
      <c r="K223" s="37" t="s">
        <v>385</v>
      </c>
      <c r="L223" s="37" t="s">
        <v>411</v>
      </c>
      <c r="M223" s="17"/>
    </row>
    <row r="224" spans="1:13" ht="16.5" customHeight="1" thickTop="1" thickBot="1" x14ac:dyDescent="0.3">
      <c r="A224" s="48">
        <f t="shared" si="7"/>
        <v>25</v>
      </c>
      <c r="B224" s="45">
        <v>8245</v>
      </c>
      <c r="C224" s="46" t="s">
        <v>271</v>
      </c>
      <c r="D224" s="46">
        <v>4941028</v>
      </c>
      <c r="E224" s="46" t="s">
        <v>7</v>
      </c>
      <c r="F224" s="46" t="s">
        <v>7</v>
      </c>
      <c r="G224" s="46" t="s">
        <v>272</v>
      </c>
      <c r="H224" s="46"/>
      <c r="I224" s="46">
        <v>135</v>
      </c>
      <c r="J224" s="46" t="s">
        <v>45</v>
      </c>
      <c r="K224" s="37" t="s">
        <v>385</v>
      </c>
      <c r="L224" s="37"/>
      <c r="M224" s="17"/>
    </row>
    <row r="225" spans="1:13" ht="16.5" customHeight="1" thickTop="1" thickBot="1" x14ac:dyDescent="0.3">
      <c r="A225" s="48">
        <f t="shared" si="7"/>
        <v>26</v>
      </c>
      <c r="B225" s="45">
        <v>621</v>
      </c>
      <c r="C225" s="46" t="s">
        <v>85</v>
      </c>
      <c r="D225" s="46">
        <v>4399407</v>
      </c>
      <c r="E225" s="46" t="s">
        <v>7</v>
      </c>
      <c r="F225" s="46" t="s">
        <v>7</v>
      </c>
      <c r="G225" s="46" t="s">
        <v>348</v>
      </c>
      <c r="H225" s="46"/>
      <c r="I225" s="46">
        <v>535</v>
      </c>
      <c r="J225" s="46" t="s">
        <v>84</v>
      </c>
      <c r="K225" s="37" t="s">
        <v>385</v>
      </c>
      <c r="L225" s="37"/>
      <c r="M225" s="17"/>
    </row>
    <row r="226" spans="1:13" ht="16.5" customHeight="1" thickTop="1" x14ac:dyDescent="0.3">
      <c r="A226" s="5"/>
      <c r="B226" s="61" t="s">
        <v>414</v>
      </c>
      <c r="C226" s="62"/>
      <c r="D226" s="62"/>
      <c r="E226" s="62"/>
      <c r="F226" s="62"/>
      <c r="G226" s="3"/>
      <c r="H226" s="3"/>
      <c r="I226" s="3"/>
      <c r="J226" s="3"/>
      <c r="K226" s="7"/>
      <c r="L226" s="7"/>
    </row>
    <row r="229" spans="1:13" ht="16.5" customHeight="1" x14ac:dyDescent="0.25">
      <c r="C229" s="17" t="s">
        <v>375</v>
      </c>
      <c r="D229" s="17" t="s">
        <v>376</v>
      </c>
      <c r="E229" s="17"/>
      <c r="F229" s="17"/>
      <c r="G229" s="17" t="s">
        <v>388</v>
      </c>
      <c r="H229" s="17" t="s">
        <v>389</v>
      </c>
      <c r="I229" s="17"/>
    </row>
    <row r="230" spans="1:13" ht="16.5" customHeight="1" x14ac:dyDescent="0.25">
      <c r="C230" s="17" t="s">
        <v>377</v>
      </c>
      <c r="D230" s="17" t="s">
        <v>378</v>
      </c>
      <c r="E230" s="17"/>
      <c r="F230" s="17"/>
      <c r="G230" s="17" t="s">
        <v>390</v>
      </c>
      <c r="H230" s="17" t="s">
        <v>391</v>
      </c>
      <c r="I230" s="17"/>
    </row>
    <row r="231" spans="1:13" ht="16.5" customHeight="1" x14ac:dyDescent="0.25">
      <c r="C231" s="17" t="s">
        <v>368</v>
      </c>
      <c r="D231" s="17" t="s">
        <v>379</v>
      </c>
      <c r="E231" s="17"/>
      <c r="F231" s="17"/>
      <c r="G231" s="17" t="s">
        <v>373</v>
      </c>
      <c r="H231" s="17" t="s">
        <v>393</v>
      </c>
      <c r="I231" s="17"/>
    </row>
    <row r="232" spans="1:13" ht="16.5" customHeight="1" x14ac:dyDescent="0.25">
      <c r="C232" s="17" t="s">
        <v>373</v>
      </c>
      <c r="D232" s="17" t="s">
        <v>380</v>
      </c>
      <c r="E232" s="17"/>
      <c r="F232" s="17"/>
      <c r="G232" s="17" t="s">
        <v>395</v>
      </c>
      <c r="H232" s="17" t="s">
        <v>396</v>
      </c>
      <c r="I232" s="17"/>
    </row>
    <row r="233" spans="1:13" ht="16.5" customHeight="1" x14ac:dyDescent="0.3">
      <c r="C233" s="17" t="s">
        <v>374</v>
      </c>
      <c r="D233" s="17" t="s">
        <v>381</v>
      </c>
      <c r="E233" s="17"/>
      <c r="F233" s="17"/>
      <c r="G233" s="15" t="s">
        <v>394</v>
      </c>
      <c r="H233" s="15" t="s">
        <v>397</v>
      </c>
      <c r="I233" s="17"/>
      <c r="K233" s="18"/>
    </row>
    <row r="234" spans="1:13" ht="16.5" customHeight="1" x14ac:dyDescent="0.25">
      <c r="C234" s="17" t="s">
        <v>382</v>
      </c>
      <c r="D234" s="17" t="s">
        <v>383</v>
      </c>
      <c r="E234" s="17"/>
      <c r="F234" s="17"/>
      <c r="G234" s="17" t="s">
        <v>398</v>
      </c>
      <c r="H234" s="17" t="s">
        <v>399</v>
      </c>
      <c r="I234" s="17"/>
    </row>
    <row r="235" spans="1:13" ht="16.5" customHeight="1" x14ac:dyDescent="0.25">
      <c r="C235" s="17" t="s">
        <v>385</v>
      </c>
      <c r="D235" s="17" t="s">
        <v>369</v>
      </c>
      <c r="E235" s="17"/>
      <c r="F235" s="17"/>
      <c r="G235" s="17" t="s">
        <v>400</v>
      </c>
      <c r="H235" s="17" t="s">
        <v>401</v>
      </c>
      <c r="I235" s="17"/>
    </row>
    <row r="236" spans="1:13" ht="16.5" customHeight="1" x14ac:dyDescent="0.25">
      <c r="C236" s="23" t="s">
        <v>404</v>
      </c>
      <c r="D236" s="23" t="s">
        <v>405</v>
      </c>
    </row>
    <row r="238" spans="1:13" ht="16.5" customHeight="1" x14ac:dyDescent="0.25">
      <c r="C238" t="s">
        <v>402</v>
      </c>
      <c r="D238">
        <v>91</v>
      </c>
      <c r="F238" t="s">
        <v>403</v>
      </c>
      <c r="H238">
        <v>10</v>
      </c>
      <c r="J238">
        <f>91-10-5</f>
        <v>76</v>
      </c>
      <c r="K238" s="6">
        <f>J238/2</f>
        <v>38</v>
      </c>
    </row>
    <row r="239" spans="1:13" ht="16.5" customHeight="1" x14ac:dyDescent="0.25">
      <c r="C239" t="s">
        <v>385</v>
      </c>
      <c r="D239">
        <v>5</v>
      </c>
    </row>
  </sheetData>
  <sortState ref="A181:L204">
    <sortCondition ref="K181:K204"/>
    <sortCondition ref="J181:J204"/>
    <sortCondition ref="G181:G204"/>
    <sortCondition ref="I181:I204"/>
  </sortState>
  <mergeCells count="3">
    <mergeCell ref="B2:C2"/>
    <mergeCell ref="B226:F226"/>
    <mergeCell ref="B1:J1"/>
  </mergeCells>
  <printOptions horizontalCentered="1"/>
  <pageMargins left="0.23622047244094491" right="0.23622047244094491" top="0.74803149606299213" bottom="0.74803149606299213" header="0.31496062992125984" footer="0.31496062992125984"/>
  <pageSetup paperSize="9" orientation="landscape" horizontalDpi="4294967293" r:id="rId1"/>
  <headerFooter>
    <oddHeader xml:space="preserve">&amp;CSULB 2014
</oddHeader>
    <oddFooter>&amp;C&amp;P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opLeftCell="A25" workbookViewId="0">
      <selection activeCell="C24" sqref="C24"/>
    </sheetView>
  </sheetViews>
  <sheetFormatPr baseColWidth="10" defaultRowHeight="19.5" customHeight="1" x14ac:dyDescent="0.25"/>
  <cols>
    <col min="1" max="2" width="11.42578125" style="49"/>
    <col min="3" max="3" width="30" style="49" customWidth="1"/>
    <col min="4" max="4" width="20.7109375" style="49" customWidth="1"/>
    <col min="5" max="5" width="11.42578125" style="49"/>
    <col min="6" max="6" width="53.28515625" style="54" customWidth="1"/>
    <col min="7" max="16384" width="11.42578125" style="49"/>
  </cols>
  <sheetData>
    <row r="1" spans="1:6" ht="19.5" customHeight="1" x14ac:dyDescent="0.25">
      <c r="A1" s="49">
        <v>1</v>
      </c>
      <c r="B1" s="50">
        <v>1302</v>
      </c>
      <c r="C1" s="51" t="s">
        <v>227</v>
      </c>
      <c r="D1" s="51" t="s">
        <v>8</v>
      </c>
      <c r="E1" s="52" t="s">
        <v>385</v>
      </c>
      <c r="F1" s="54" t="s">
        <v>432</v>
      </c>
    </row>
    <row r="2" spans="1:6" ht="19.5" customHeight="1" x14ac:dyDescent="0.25">
      <c r="A2" s="49">
        <f t="shared" ref="A2:A26" si="0">+A1+1</f>
        <v>2</v>
      </c>
      <c r="B2" s="50">
        <v>8162</v>
      </c>
      <c r="C2" s="51" t="s">
        <v>253</v>
      </c>
      <c r="D2" s="51" t="s">
        <v>8</v>
      </c>
      <c r="E2" s="52" t="s">
        <v>385</v>
      </c>
      <c r="F2" s="54" t="s">
        <v>416</v>
      </c>
    </row>
    <row r="3" spans="1:6" ht="19.5" customHeight="1" x14ac:dyDescent="0.25">
      <c r="A3" s="49">
        <f t="shared" si="0"/>
        <v>3</v>
      </c>
      <c r="B3" s="50">
        <v>8227</v>
      </c>
      <c r="C3" s="51" t="s">
        <v>268</v>
      </c>
      <c r="D3" s="51" t="s">
        <v>8</v>
      </c>
      <c r="E3" s="52" t="s">
        <v>385</v>
      </c>
      <c r="F3" s="55" t="s">
        <v>428</v>
      </c>
    </row>
    <row r="4" spans="1:6" ht="19.5" customHeight="1" x14ac:dyDescent="0.25">
      <c r="A4" s="49">
        <f t="shared" si="0"/>
        <v>4</v>
      </c>
      <c r="B4" s="50">
        <v>8265</v>
      </c>
      <c r="C4" s="51" t="s">
        <v>289</v>
      </c>
      <c r="D4" s="51" t="s">
        <v>8</v>
      </c>
      <c r="E4" s="52" t="s">
        <v>385</v>
      </c>
      <c r="F4" s="55" t="s">
        <v>428</v>
      </c>
    </row>
    <row r="5" spans="1:6" ht="19.5" customHeight="1" x14ac:dyDescent="0.25">
      <c r="A5" s="49">
        <f t="shared" si="0"/>
        <v>5</v>
      </c>
      <c r="B5" s="50">
        <v>330</v>
      </c>
      <c r="C5" s="51" t="s">
        <v>35</v>
      </c>
      <c r="D5" s="51" t="s">
        <v>8</v>
      </c>
      <c r="E5" s="52" t="s">
        <v>385</v>
      </c>
      <c r="F5" s="55" t="s">
        <v>428</v>
      </c>
    </row>
    <row r="6" spans="1:6" ht="19.5" customHeight="1" x14ac:dyDescent="0.25">
      <c r="A6" s="49">
        <f t="shared" si="0"/>
        <v>6</v>
      </c>
      <c r="B6" s="50">
        <v>639</v>
      </c>
      <c r="C6" s="51" t="s">
        <v>91</v>
      </c>
      <c r="D6" s="51" t="s">
        <v>18</v>
      </c>
      <c r="E6" s="52" t="s">
        <v>385</v>
      </c>
      <c r="F6" s="54" t="s">
        <v>425</v>
      </c>
    </row>
    <row r="7" spans="1:6" ht="19.5" customHeight="1" x14ac:dyDescent="0.25">
      <c r="A7" s="49">
        <f t="shared" si="0"/>
        <v>7</v>
      </c>
      <c r="B7" s="50">
        <v>1058</v>
      </c>
      <c r="C7" s="51" t="s">
        <v>160</v>
      </c>
      <c r="D7" s="51" t="s">
        <v>18</v>
      </c>
      <c r="E7" s="52" t="s">
        <v>385</v>
      </c>
      <c r="F7" s="54" t="s">
        <v>426</v>
      </c>
    </row>
    <row r="8" spans="1:6" ht="19.5" customHeight="1" x14ac:dyDescent="0.25">
      <c r="A8" s="49">
        <f t="shared" si="0"/>
        <v>8</v>
      </c>
      <c r="B8" s="50">
        <v>220</v>
      </c>
      <c r="C8" s="51" t="s">
        <v>19</v>
      </c>
      <c r="D8" s="51" t="s">
        <v>18</v>
      </c>
      <c r="E8" s="52" t="s">
        <v>385</v>
      </c>
      <c r="F8" s="54" t="s">
        <v>427</v>
      </c>
    </row>
    <row r="9" spans="1:6" ht="19.5" customHeight="1" x14ac:dyDescent="0.25">
      <c r="A9" s="49">
        <f t="shared" si="0"/>
        <v>9</v>
      </c>
      <c r="B9" s="50">
        <v>1378</v>
      </c>
      <c r="C9" s="51" t="s">
        <v>242</v>
      </c>
      <c r="D9" s="51" t="s">
        <v>34</v>
      </c>
      <c r="E9" s="52" t="s">
        <v>385</v>
      </c>
      <c r="F9" s="54" t="s">
        <v>431</v>
      </c>
    </row>
    <row r="10" spans="1:6" ht="19.5" customHeight="1" x14ac:dyDescent="0.25">
      <c r="A10" s="49">
        <f t="shared" si="0"/>
        <v>10</v>
      </c>
      <c r="B10" s="50">
        <v>565</v>
      </c>
      <c r="C10" s="51" t="s">
        <v>77</v>
      </c>
      <c r="D10" s="51" t="s">
        <v>8</v>
      </c>
      <c r="E10" s="52" t="s">
        <v>385</v>
      </c>
      <c r="F10" s="54" t="s">
        <v>421</v>
      </c>
    </row>
    <row r="11" spans="1:6" ht="19.5" customHeight="1" x14ac:dyDescent="0.25">
      <c r="A11" s="49">
        <f t="shared" si="0"/>
        <v>11</v>
      </c>
      <c r="B11" s="50">
        <v>760</v>
      </c>
      <c r="C11" s="51" t="s">
        <v>112</v>
      </c>
      <c r="D11" s="51" t="s">
        <v>8</v>
      </c>
      <c r="E11" s="52" t="s">
        <v>385</v>
      </c>
      <c r="F11" s="54" t="s">
        <v>423</v>
      </c>
    </row>
    <row r="12" spans="1:6" ht="19.5" customHeight="1" x14ac:dyDescent="0.25">
      <c r="A12" s="49">
        <f t="shared" si="0"/>
        <v>12</v>
      </c>
      <c r="B12" s="50">
        <v>8222</v>
      </c>
      <c r="C12" s="51" t="s">
        <v>267</v>
      </c>
      <c r="D12" s="51" t="s">
        <v>8</v>
      </c>
      <c r="E12" s="52" t="s">
        <v>385</v>
      </c>
      <c r="F12" s="54" t="s">
        <v>424</v>
      </c>
    </row>
    <row r="13" spans="1:6" ht="19.5" customHeight="1" x14ac:dyDescent="0.25">
      <c r="A13" s="49">
        <f t="shared" si="0"/>
        <v>13</v>
      </c>
      <c r="B13" s="50">
        <v>8175</v>
      </c>
      <c r="C13" s="51" t="s">
        <v>259</v>
      </c>
      <c r="D13" s="51" t="s">
        <v>8</v>
      </c>
      <c r="E13" s="52" t="s">
        <v>385</v>
      </c>
      <c r="F13" s="54" t="s">
        <v>424</v>
      </c>
    </row>
    <row r="14" spans="1:6" ht="19.5" customHeight="1" x14ac:dyDescent="0.25">
      <c r="A14" s="49">
        <f t="shared" si="0"/>
        <v>14</v>
      </c>
      <c r="B14" s="50">
        <v>1317</v>
      </c>
      <c r="C14" s="51" t="s">
        <v>232</v>
      </c>
      <c r="D14" s="51" t="s">
        <v>8</v>
      </c>
      <c r="E14" s="52" t="s">
        <v>385</v>
      </c>
      <c r="F14" s="54" t="s">
        <v>419</v>
      </c>
    </row>
    <row r="15" spans="1:6" ht="19.5" customHeight="1" x14ac:dyDescent="0.25">
      <c r="A15" s="49">
        <f t="shared" si="0"/>
        <v>15</v>
      </c>
      <c r="B15" s="50">
        <v>269</v>
      </c>
      <c r="C15" s="51" t="s">
        <v>31</v>
      </c>
      <c r="D15" s="51" t="s">
        <v>8</v>
      </c>
      <c r="E15" s="52" t="s">
        <v>385</v>
      </c>
      <c r="F15" s="54" t="s">
        <v>418</v>
      </c>
    </row>
    <row r="16" spans="1:6" ht="19.5" customHeight="1" x14ac:dyDescent="0.25">
      <c r="A16" s="49">
        <f t="shared" si="0"/>
        <v>16</v>
      </c>
      <c r="B16" s="50">
        <v>551</v>
      </c>
      <c r="C16" s="51" t="s">
        <v>72</v>
      </c>
      <c r="D16" s="51" t="s">
        <v>8</v>
      </c>
      <c r="E16" s="52" t="s">
        <v>385</v>
      </c>
      <c r="F16" s="54" t="s">
        <v>421</v>
      </c>
    </row>
    <row r="17" spans="1:6" ht="19.5" customHeight="1" x14ac:dyDescent="0.25">
      <c r="A17" s="49">
        <f t="shared" si="0"/>
        <v>17</v>
      </c>
      <c r="B17" s="50">
        <v>1292</v>
      </c>
      <c r="C17" s="51" t="s">
        <v>224</v>
      </c>
      <c r="D17" s="51" t="s">
        <v>8</v>
      </c>
      <c r="E17" s="52" t="s">
        <v>385</v>
      </c>
      <c r="F17" s="54" t="s">
        <v>420</v>
      </c>
    </row>
    <row r="18" spans="1:6" ht="19.5" customHeight="1" x14ac:dyDescent="0.25">
      <c r="A18" s="49">
        <f t="shared" si="0"/>
        <v>18</v>
      </c>
      <c r="B18" s="50">
        <v>1161</v>
      </c>
      <c r="C18" s="51" t="s">
        <v>191</v>
      </c>
      <c r="D18" s="51" t="s">
        <v>8</v>
      </c>
      <c r="E18" s="52" t="s">
        <v>385</v>
      </c>
      <c r="F18" s="54" t="s">
        <v>421</v>
      </c>
    </row>
    <row r="19" spans="1:6" ht="19.5" customHeight="1" x14ac:dyDescent="0.25">
      <c r="A19" s="49">
        <f t="shared" si="0"/>
        <v>19</v>
      </c>
      <c r="B19" s="50">
        <v>246</v>
      </c>
      <c r="C19" s="51" t="s">
        <v>26</v>
      </c>
      <c r="D19" s="51" t="s">
        <v>15</v>
      </c>
      <c r="E19" s="52" t="s">
        <v>385</v>
      </c>
      <c r="F19" s="54" t="s">
        <v>421</v>
      </c>
    </row>
    <row r="20" spans="1:6" ht="19.5" customHeight="1" x14ac:dyDescent="0.25">
      <c r="A20" s="49">
        <f t="shared" si="0"/>
        <v>20</v>
      </c>
      <c r="B20" s="50">
        <v>1075</v>
      </c>
      <c r="C20" s="51" t="s">
        <v>164</v>
      </c>
      <c r="D20" s="51" t="s">
        <v>18</v>
      </c>
      <c r="E20" s="52" t="s">
        <v>385</v>
      </c>
      <c r="F20" s="54" t="s">
        <v>421</v>
      </c>
    </row>
    <row r="21" spans="1:6" ht="19.5" customHeight="1" x14ac:dyDescent="0.25">
      <c r="A21" s="49">
        <f t="shared" si="0"/>
        <v>21</v>
      </c>
      <c r="B21" s="50">
        <v>218</v>
      </c>
      <c r="C21" s="51" t="s">
        <v>17</v>
      </c>
      <c r="D21" s="51" t="s">
        <v>18</v>
      </c>
      <c r="E21" s="52" t="s">
        <v>385</v>
      </c>
      <c r="F21" s="54" t="s">
        <v>429</v>
      </c>
    </row>
    <row r="22" spans="1:6" ht="19.5" customHeight="1" x14ac:dyDescent="0.25">
      <c r="A22" s="49">
        <f t="shared" si="0"/>
        <v>22</v>
      </c>
      <c r="B22" s="50">
        <v>1203</v>
      </c>
      <c r="C22" s="51" t="s">
        <v>196</v>
      </c>
      <c r="D22" s="51" t="s">
        <v>15</v>
      </c>
      <c r="E22" s="52" t="s">
        <v>415</v>
      </c>
      <c r="F22" s="54" t="s">
        <v>430</v>
      </c>
    </row>
    <row r="23" spans="1:6" ht="19.5" customHeight="1" x14ac:dyDescent="0.25">
      <c r="A23" s="49">
        <f t="shared" si="0"/>
        <v>23</v>
      </c>
      <c r="B23" s="50">
        <v>656</v>
      </c>
      <c r="C23" s="51" t="s">
        <v>95</v>
      </c>
      <c r="D23" s="51" t="s">
        <v>8</v>
      </c>
      <c r="E23" s="52" t="s">
        <v>385</v>
      </c>
      <c r="F23" s="54" t="s">
        <v>417</v>
      </c>
    </row>
    <row r="24" spans="1:6" ht="19.5" customHeight="1" x14ac:dyDescent="0.25">
      <c r="A24" s="49">
        <f t="shared" si="0"/>
        <v>24</v>
      </c>
      <c r="B24" s="50">
        <v>1102</v>
      </c>
      <c r="C24" s="51" t="s">
        <v>412</v>
      </c>
      <c r="D24" s="51" t="s">
        <v>15</v>
      </c>
      <c r="E24" s="52" t="s">
        <v>385</v>
      </c>
      <c r="F24" s="54" t="s">
        <v>422</v>
      </c>
    </row>
    <row r="25" spans="1:6" ht="19.5" customHeight="1" x14ac:dyDescent="0.25">
      <c r="A25" s="49">
        <f t="shared" si="0"/>
        <v>25</v>
      </c>
      <c r="B25" s="50">
        <v>8245</v>
      </c>
      <c r="C25" s="51" t="s">
        <v>271</v>
      </c>
      <c r="D25" s="51" t="s">
        <v>45</v>
      </c>
      <c r="E25" s="52" t="s">
        <v>385</v>
      </c>
      <c r="F25" s="54" t="s">
        <v>421</v>
      </c>
    </row>
    <row r="26" spans="1:6" ht="19.5" customHeight="1" x14ac:dyDescent="0.25">
      <c r="A26" s="49">
        <f t="shared" si="0"/>
        <v>26</v>
      </c>
      <c r="B26" s="50">
        <v>621</v>
      </c>
      <c r="C26" s="51" t="s">
        <v>85</v>
      </c>
      <c r="D26" s="51" t="s">
        <v>84</v>
      </c>
      <c r="E26" s="52" t="s">
        <v>385</v>
      </c>
      <c r="F26" s="54" t="s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"/>
  <sheetViews>
    <sheetView topLeftCell="A24" workbookViewId="0">
      <selection activeCell="C39" sqref="C39"/>
    </sheetView>
  </sheetViews>
  <sheetFormatPr baseColWidth="10" defaultRowHeight="16.5" customHeight="1" x14ac:dyDescent="0.25"/>
  <cols>
    <col min="3" max="3" width="31.28515625" customWidth="1"/>
  </cols>
  <sheetData>
    <row r="1" spans="1:12" ht="16.5" customHeight="1" x14ac:dyDescent="0.25">
      <c r="A1" s="9">
        <v>1</v>
      </c>
      <c r="B1" s="10">
        <v>8203</v>
      </c>
      <c r="C1" s="11" t="s">
        <v>264</v>
      </c>
      <c r="D1" s="11">
        <v>4058600</v>
      </c>
      <c r="E1" s="11">
        <v>155684017</v>
      </c>
      <c r="F1" s="11" t="s">
        <v>7</v>
      </c>
      <c r="G1" s="11" t="s">
        <v>265</v>
      </c>
      <c r="H1" s="11"/>
      <c r="I1" s="11">
        <v>1070</v>
      </c>
      <c r="J1" s="12" t="s">
        <v>8</v>
      </c>
      <c r="K1" s="16" t="s">
        <v>368</v>
      </c>
      <c r="L1" s="16" t="s">
        <v>436</v>
      </c>
    </row>
    <row r="2" spans="1:12" ht="16.5" customHeight="1" x14ac:dyDescent="0.25">
      <c r="A2" s="9">
        <f t="shared" ref="A2:A38" si="0">+A1+1</f>
        <v>2</v>
      </c>
      <c r="B2" s="10">
        <v>1017</v>
      </c>
      <c r="C2" s="11" t="s">
        <v>152</v>
      </c>
      <c r="D2" s="11">
        <v>4234244</v>
      </c>
      <c r="E2" s="11">
        <v>156256658</v>
      </c>
      <c r="F2" s="11" t="s">
        <v>7</v>
      </c>
      <c r="G2" s="11" t="s">
        <v>153</v>
      </c>
      <c r="H2" s="11"/>
      <c r="I2" s="11">
        <v>1007</v>
      </c>
      <c r="J2" s="12" t="s">
        <v>8</v>
      </c>
      <c r="K2" s="16" t="s">
        <v>368</v>
      </c>
      <c r="L2" s="16" t="s">
        <v>436</v>
      </c>
    </row>
    <row r="3" spans="1:12" ht="16.5" customHeight="1" x14ac:dyDescent="0.25">
      <c r="A3" s="9">
        <f t="shared" si="0"/>
        <v>3</v>
      </c>
      <c r="B3" s="10">
        <v>629</v>
      </c>
      <c r="C3" s="11" t="s">
        <v>88</v>
      </c>
      <c r="D3" s="11">
        <v>4239771</v>
      </c>
      <c r="E3" s="11" t="s">
        <v>7</v>
      </c>
      <c r="F3" s="11" t="s">
        <v>7</v>
      </c>
      <c r="G3" s="11" t="s">
        <v>130</v>
      </c>
      <c r="H3" s="11"/>
      <c r="I3" s="11">
        <v>638</v>
      </c>
      <c r="J3" s="12" t="s">
        <v>8</v>
      </c>
      <c r="K3" s="16" t="s">
        <v>368</v>
      </c>
      <c r="L3" s="16" t="s">
        <v>436</v>
      </c>
    </row>
    <row r="4" spans="1:12" ht="16.5" customHeight="1" x14ac:dyDescent="0.25">
      <c r="A4" s="9">
        <f t="shared" si="0"/>
        <v>4</v>
      </c>
      <c r="B4" s="10">
        <v>1316</v>
      </c>
      <c r="C4" s="11" t="s">
        <v>230</v>
      </c>
      <c r="D4" s="11">
        <v>4203238</v>
      </c>
      <c r="E4" s="11">
        <v>155189885</v>
      </c>
      <c r="F4" s="11" t="s">
        <v>7</v>
      </c>
      <c r="G4" s="11" t="s">
        <v>231</v>
      </c>
      <c r="H4" s="11"/>
      <c r="I4" s="11">
        <v>445</v>
      </c>
      <c r="J4" s="12" t="s">
        <v>8</v>
      </c>
      <c r="K4" s="16" t="s">
        <v>368</v>
      </c>
      <c r="L4" s="16" t="s">
        <v>436</v>
      </c>
    </row>
    <row r="5" spans="1:12" ht="16.5" customHeight="1" x14ac:dyDescent="0.25">
      <c r="A5" s="9">
        <f t="shared" si="0"/>
        <v>5</v>
      </c>
      <c r="B5" s="10">
        <v>811</v>
      </c>
      <c r="C5" s="11" t="s">
        <v>121</v>
      </c>
      <c r="D5" s="11">
        <v>4233155</v>
      </c>
      <c r="E5" s="11">
        <v>156293347</v>
      </c>
      <c r="F5" s="11" t="s">
        <v>7</v>
      </c>
      <c r="G5" s="11" t="s">
        <v>354</v>
      </c>
      <c r="H5" s="11"/>
      <c r="I5" s="11">
        <v>543</v>
      </c>
      <c r="J5" s="12" t="s">
        <v>8</v>
      </c>
      <c r="K5" s="16" t="s">
        <v>368</v>
      </c>
      <c r="L5" s="16" t="s">
        <v>436</v>
      </c>
    </row>
    <row r="6" spans="1:12" ht="16.5" customHeight="1" x14ac:dyDescent="0.25">
      <c r="A6" s="9">
        <f t="shared" si="0"/>
        <v>6</v>
      </c>
      <c r="B6" s="10">
        <v>657</v>
      </c>
      <c r="C6" s="11" t="s">
        <v>96</v>
      </c>
      <c r="D6" s="11">
        <v>4240060</v>
      </c>
      <c r="E6" s="11">
        <v>155093424</v>
      </c>
      <c r="F6" s="11" t="s">
        <v>97</v>
      </c>
      <c r="G6" s="11" t="s">
        <v>98</v>
      </c>
      <c r="H6" s="11"/>
      <c r="I6" s="11">
        <v>205</v>
      </c>
      <c r="J6" s="12" t="s">
        <v>8</v>
      </c>
      <c r="K6" s="16" t="s">
        <v>368</v>
      </c>
      <c r="L6" s="16" t="s">
        <v>436</v>
      </c>
    </row>
    <row r="7" spans="1:12" ht="16.5" customHeight="1" x14ac:dyDescent="0.25">
      <c r="A7" s="9">
        <f t="shared" si="0"/>
        <v>7</v>
      </c>
      <c r="B7" s="10">
        <v>913</v>
      </c>
      <c r="C7" s="11" t="s">
        <v>127</v>
      </c>
      <c r="D7" s="11">
        <v>4295494</v>
      </c>
      <c r="E7" s="11">
        <v>156757355</v>
      </c>
      <c r="F7" s="11" t="s">
        <v>7</v>
      </c>
      <c r="G7" s="11" t="s">
        <v>128</v>
      </c>
      <c r="H7" s="11"/>
      <c r="I7" s="11">
        <v>569</v>
      </c>
      <c r="J7" s="12" t="s">
        <v>8</v>
      </c>
      <c r="K7" s="16" t="s">
        <v>368</v>
      </c>
      <c r="L7" s="16" t="s">
        <v>436</v>
      </c>
    </row>
    <row r="8" spans="1:12" ht="16.5" customHeight="1" x14ac:dyDescent="0.25">
      <c r="A8" s="9">
        <f t="shared" si="0"/>
        <v>8</v>
      </c>
      <c r="B8" s="10">
        <v>1134</v>
      </c>
      <c r="C8" s="11" t="s">
        <v>185</v>
      </c>
      <c r="D8" s="11">
        <v>4295484</v>
      </c>
      <c r="E8" s="11">
        <v>155255783</v>
      </c>
      <c r="F8" s="11">
        <v>155255783</v>
      </c>
      <c r="G8" s="11" t="s">
        <v>128</v>
      </c>
      <c r="H8" s="11"/>
      <c r="I8" s="11">
        <v>569</v>
      </c>
      <c r="J8" s="12" t="s">
        <v>8</v>
      </c>
      <c r="K8" s="16" t="s">
        <v>368</v>
      </c>
      <c r="L8" s="16" t="s">
        <v>436</v>
      </c>
    </row>
    <row r="9" spans="1:12" ht="16.5" customHeight="1" x14ac:dyDescent="0.25">
      <c r="A9" s="9">
        <f t="shared" si="0"/>
        <v>9</v>
      </c>
      <c r="B9" s="10">
        <v>569</v>
      </c>
      <c r="C9" s="11" t="s">
        <v>78</v>
      </c>
      <c r="D9" s="11">
        <v>4295049</v>
      </c>
      <c r="E9" s="11">
        <v>154152891</v>
      </c>
      <c r="F9" s="11" t="s">
        <v>7</v>
      </c>
      <c r="G9" s="11" t="s">
        <v>36</v>
      </c>
      <c r="H9" s="11"/>
      <c r="I9" s="11">
        <v>673</v>
      </c>
      <c r="J9" s="12" t="s">
        <v>8</v>
      </c>
      <c r="K9" s="16" t="s">
        <v>368</v>
      </c>
      <c r="L9" s="16" t="s">
        <v>436</v>
      </c>
    </row>
    <row r="10" spans="1:12" ht="16.5" customHeight="1" x14ac:dyDescent="0.25">
      <c r="A10" s="9">
        <f t="shared" si="0"/>
        <v>10</v>
      </c>
      <c r="B10" s="10">
        <v>806</v>
      </c>
      <c r="C10" s="11" t="s">
        <v>118</v>
      </c>
      <c r="D10" s="11">
        <v>4233632</v>
      </c>
      <c r="E10" s="11" t="s">
        <v>7</v>
      </c>
      <c r="F10" s="11" t="s">
        <v>7</v>
      </c>
      <c r="G10" s="11" t="s">
        <v>36</v>
      </c>
      <c r="H10" s="11"/>
      <c r="I10" s="11">
        <v>1200</v>
      </c>
      <c r="J10" s="12" t="s">
        <v>8</v>
      </c>
      <c r="K10" s="16" t="s">
        <v>368</v>
      </c>
      <c r="L10" s="16" t="s">
        <v>436</v>
      </c>
    </row>
    <row r="11" spans="1:12" ht="16.5" customHeight="1" x14ac:dyDescent="0.25">
      <c r="A11" s="9">
        <f t="shared" si="0"/>
        <v>11</v>
      </c>
      <c r="B11" s="10">
        <v>8285</v>
      </c>
      <c r="C11" s="11" t="s">
        <v>316</v>
      </c>
      <c r="D11" s="11">
        <v>4236802</v>
      </c>
      <c r="E11" s="11" t="s">
        <v>7</v>
      </c>
      <c r="F11" s="11" t="s">
        <v>7</v>
      </c>
      <c r="G11" s="11" t="s">
        <v>171</v>
      </c>
      <c r="H11" s="11"/>
      <c r="I11" s="11">
        <v>171</v>
      </c>
      <c r="J11" s="12" t="s">
        <v>8</v>
      </c>
      <c r="K11" s="16" t="s">
        <v>368</v>
      </c>
      <c r="L11" s="16" t="s">
        <v>436</v>
      </c>
    </row>
    <row r="12" spans="1:12" ht="16.5" customHeight="1" x14ac:dyDescent="0.25">
      <c r="A12" s="9">
        <f t="shared" si="0"/>
        <v>12</v>
      </c>
      <c r="B12" s="10">
        <v>1082</v>
      </c>
      <c r="C12" s="11" t="s">
        <v>170</v>
      </c>
      <c r="D12" s="11">
        <v>4239169</v>
      </c>
      <c r="E12" s="11">
        <v>155328249</v>
      </c>
      <c r="F12" s="11">
        <v>155394843</v>
      </c>
      <c r="G12" s="11" t="s">
        <v>171</v>
      </c>
      <c r="H12" s="11"/>
      <c r="I12" s="11">
        <v>367</v>
      </c>
      <c r="J12" s="12" t="s">
        <v>8</v>
      </c>
      <c r="K12" s="27" t="s">
        <v>368</v>
      </c>
      <c r="L12" s="26" t="s">
        <v>436</v>
      </c>
    </row>
    <row r="13" spans="1:12" ht="16.5" customHeight="1" x14ac:dyDescent="0.25">
      <c r="A13" s="9">
        <f t="shared" si="0"/>
        <v>13</v>
      </c>
      <c r="B13" s="10">
        <v>421</v>
      </c>
      <c r="C13" s="11" t="s">
        <v>49</v>
      </c>
      <c r="D13" s="11">
        <v>4293243</v>
      </c>
      <c r="E13" s="11" t="s">
        <v>7</v>
      </c>
      <c r="F13" s="11" t="s">
        <v>7</v>
      </c>
      <c r="G13" s="11" t="s">
        <v>171</v>
      </c>
      <c r="H13" s="11"/>
      <c r="I13" s="11">
        <v>613</v>
      </c>
      <c r="J13" s="12" t="s">
        <v>8</v>
      </c>
      <c r="K13" s="13" t="s">
        <v>368</v>
      </c>
      <c r="L13" s="16" t="s">
        <v>436</v>
      </c>
    </row>
    <row r="14" spans="1:12" ht="16.5" customHeight="1" x14ac:dyDescent="0.25">
      <c r="A14" s="9">
        <f t="shared" si="0"/>
        <v>14</v>
      </c>
      <c r="B14" s="10">
        <v>8277</v>
      </c>
      <c r="C14" s="11" t="s">
        <v>306</v>
      </c>
      <c r="D14" s="11">
        <v>4290894</v>
      </c>
      <c r="E14" s="11" t="s">
        <v>7</v>
      </c>
      <c r="F14" s="11" t="s">
        <v>7</v>
      </c>
      <c r="G14" s="11" t="s">
        <v>278</v>
      </c>
      <c r="H14" s="11"/>
      <c r="I14" s="11">
        <v>378</v>
      </c>
      <c r="J14" s="12" t="s">
        <v>8</v>
      </c>
      <c r="K14" s="13" t="s">
        <v>368</v>
      </c>
      <c r="L14" s="16" t="s">
        <v>436</v>
      </c>
    </row>
    <row r="15" spans="1:12" ht="16.5" customHeight="1" x14ac:dyDescent="0.25">
      <c r="A15" s="9">
        <f t="shared" si="0"/>
        <v>15</v>
      </c>
      <c r="B15" s="10">
        <v>793</v>
      </c>
      <c r="C15" s="11" t="s">
        <v>115</v>
      </c>
      <c r="D15" s="11">
        <v>4290894</v>
      </c>
      <c r="E15" s="11">
        <v>155089980</v>
      </c>
      <c r="F15" s="11" t="s">
        <v>7</v>
      </c>
      <c r="G15" s="11" t="s">
        <v>278</v>
      </c>
      <c r="H15" s="11"/>
      <c r="I15" s="11">
        <v>378</v>
      </c>
      <c r="J15" s="12" t="s">
        <v>8</v>
      </c>
      <c r="K15" s="13" t="s">
        <v>368</v>
      </c>
      <c r="L15" s="16" t="s">
        <v>436</v>
      </c>
    </row>
    <row r="16" spans="1:12" ht="16.5" customHeight="1" x14ac:dyDescent="0.25">
      <c r="A16" s="9">
        <f t="shared" si="0"/>
        <v>16</v>
      </c>
      <c r="B16" s="10">
        <v>574</v>
      </c>
      <c r="C16" s="11" t="s">
        <v>79</v>
      </c>
      <c r="D16" s="11">
        <v>4222303</v>
      </c>
      <c r="E16" s="11" t="s">
        <v>7</v>
      </c>
      <c r="F16" s="11" t="s">
        <v>7</v>
      </c>
      <c r="G16" s="11" t="s">
        <v>347</v>
      </c>
      <c r="H16" s="11"/>
      <c r="I16" s="11">
        <v>378</v>
      </c>
      <c r="J16" s="12" t="s">
        <v>15</v>
      </c>
      <c r="K16" s="13" t="s">
        <v>368</v>
      </c>
      <c r="L16" s="16" t="s">
        <v>436</v>
      </c>
    </row>
    <row r="17" spans="1:12" ht="16.5" customHeight="1" x14ac:dyDescent="0.25">
      <c r="A17" s="9">
        <f t="shared" si="0"/>
        <v>17</v>
      </c>
      <c r="B17" s="10">
        <v>709</v>
      </c>
      <c r="C17" s="11" t="s">
        <v>104</v>
      </c>
      <c r="D17" s="11">
        <v>4397353</v>
      </c>
      <c r="E17" s="11" t="s">
        <v>7</v>
      </c>
      <c r="F17" s="11" t="s">
        <v>7</v>
      </c>
      <c r="G17" s="11" t="s">
        <v>356</v>
      </c>
      <c r="H17" s="11"/>
      <c r="I17" s="11">
        <v>1623</v>
      </c>
      <c r="J17" s="12" t="s">
        <v>15</v>
      </c>
      <c r="K17" s="13" t="s">
        <v>368</v>
      </c>
      <c r="L17" s="16" t="s">
        <v>436</v>
      </c>
    </row>
    <row r="18" spans="1:12" ht="16.5" customHeight="1" x14ac:dyDescent="0.25">
      <c r="A18" s="9">
        <f t="shared" si="0"/>
        <v>18</v>
      </c>
      <c r="B18" s="10">
        <v>8281</v>
      </c>
      <c r="C18" s="11" t="s">
        <v>310</v>
      </c>
      <c r="D18" s="11">
        <v>4397353</v>
      </c>
      <c r="E18" s="11" t="s">
        <v>7</v>
      </c>
      <c r="F18" s="11" t="s">
        <v>7</v>
      </c>
      <c r="G18" s="11" t="s">
        <v>311</v>
      </c>
      <c r="H18" s="11"/>
      <c r="I18" s="11">
        <v>1601</v>
      </c>
      <c r="J18" s="12" t="s">
        <v>15</v>
      </c>
      <c r="K18" s="13" t="s">
        <v>368</v>
      </c>
      <c r="L18" s="16" t="s">
        <v>436</v>
      </c>
    </row>
    <row r="19" spans="1:12" ht="16.5" customHeight="1" x14ac:dyDescent="0.25">
      <c r="A19" s="9">
        <f t="shared" si="0"/>
        <v>19</v>
      </c>
      <c r="B19" s="10">
        <v>8283</v>
      </c>
      <c r="C19" s="11" t="s">
        <v>314</v>
      </c>
      <c r="D19" s="11">
        <v>4244861</v>
      </c>
      <c r="E19" s="11">
        <v>155049579</v>
      </c>
      <c r="F19" s="11" t="s">
        <v>7</v>
      </c>
      <c r="G19" s="11" t="s">
        <v>14</v>
      </c>
      <c r="H19" s="11"/>
      <c r="I19" s="11">
        <v>1418</v>
      </c>
      <c r="J19" s="12" t="s">
        <v>15</v>
      </c>
      <c r="K19" s="13" t="s">
        <v>368</v>
      </c>
      <c r="L19" s="16" t="s">
        <v>436</v>
      </c>
    </row>
    <row r="20" spans="1:12" ht="16.5" customHeight="1" x14ac:dyDescent="0.25">
      <c r="A20" s="9">
        <f t="shared" si="0"/>
        <v>20</v>
      </c>
      <c r="B20" s="10">
        <v>874</v>
      </c>
      <c r="C20" s="11" t="s">
        <v>125</v>
      </c>
      <c r="D20" s="11">
        <v>4244861</v>
      </c>
      <c r="E20" s="11">
        <v>155080678</v>
      </c>
      <c r="F20" s="11" t="s">
        <v>7</v>
      </c>
      <c r="G20" s="11" t="s">
        <v>14</v>
      </c>
      <c r="H20" s="11"/>
      <c r="I20" s="11">
        <v>1418</v>
      </c>
      <c r="J20" s="12" t="s">
        <v>15</v>
      </c>
      <c r="K20" s="13" t="s">
        <v>368</v>
      </c>
      <c r="L20" s="16" t="s">
        <v>436</v>
      </c>
    </row>
    <row r="21" spans="1:12" ht="16.5" customHeight="1" x14ac:dyDescent="0.25">
      <c r="A21" s="9">
        <f t="shared" si="0"/>
        <v>21</v>
      </c>
      <c r="B21" s="10">
        <v>932</v>
      </c>
      <c r="C21" s="11" t="s">
        <v>131</v>
      </c>
      <c r="D21" s="11">
        <v>4244861</v>
      </c>
      <c r="E21" s="11" t="s">
        <v>7</v>
      </c>
      <c r="F21" s="11" t="s">
        <v>7</v>
      </c>
      <c r="G21" s="11" t="s">
        <v>14</v>
      </c>
      <c r="H21" s="11"/>
      <c r="I21" s="11">
        <v>1418</v>
      </c>
      <c r="J21" s="12" t="s">
        <v>15</v>
      </c>
      <c r="K21" s="13" t="s">
        <v>368</v>
      </c>
      <c r="L21" s="16" t="s">
        <v>436</v>
      </c>
    </row>
    <row r="22" spans="1:12" ht="16.5" customHeight="1" x14ac:dyDescent="0.25">
      <c r="A22" s="9">
        <f t="shared" si="0"/>
        <v>22</v>
      </c>
      <c r="B22" s="10">
        <v>1209</v>
      </c>
      <c r="C22" s="11" t="s">
        <v>199</v>
      </c>
      <c r="D22" s="11">
        <v>4316818</v>
      </c>
      <c r="E22" s="11">
        <v>154609064</v>
      </c>
      <c r="F22" s="11">
        <v>154609064</v>
      </c>
      <c r="G22" s="11" t="s">
        <v>200</v>
      </c>
      <c r="H22" s="11"/>
      <c r="I22" s="11">
        <v>2320</v>
      </c>
      <c r="J22" s="12" t="s">
        <v>18</v>
      </c>
      <c r="K22" s="57" t="s">
        <v>368</v>
      </c>
      <c r="L22" s="16" t="s">
        <v>436</v>
      </c>
    </row>
    <row r="23" spans="1:12" ht="16.5" customHeight="1" x14ac:dyDescent="0.25">
      <c r="A23" s="9">
        <f t="shared" si="0"/>
        <v>23</v>
      </c>
      <c r="B23" s="10">
        <v>1149</v>
      </c>
      <c r="C23" s="11" t="s">
        <v>189</v>
      </c>
      <c r="D23" s="11">
        <v>4264420</v>
      </c>
      <c r="E23" s="11">
        <v>152001922</v>
      </c>
      <c r="F23" s="11">
        <v>152001922</v>
      </c>
      <c r="G23" s="11" t="s">
        <v>190</v>
      </c>
      <c r="H23" s="11"/>
      <c r="I23" s="11">
        <v>1855</v>
      </c>
      <c r="J23" s="12" t="s">
        <v>18</v>
      </c>
      <c r="K23" s="13" t="s">
        <v>368</v>
      </c>
      <c r="L23" s="16" t="s">
        <v>436</v>
      </c>
    </row>
    <row r="24" spans="1:12" ht="16.5" customHeight="1" x14ac:dyDescent="0.25">
      <c r="A24" s="9">
        <f t="shared" si="0"/>
        <v>24</v>
      </c>
      <c r="B24" s="10">
        <v>1201</v>
      </c>
      <c r="C24" s="11" t="s">
        <v>194</v>
      </c>
      <c r="D24" s="11" t="s">
        <v>148</v>
      </c>
      <c r="E24" s="11">
        <v>155598524</v>
      </c>
      <c r="F24" s="11">
        <v>155598824</v>
      </c>
      <c r="G24" s="11" t="s">
        <v>195</v>
      </c>
      <c r="H24" s="11"/>
      <c r="I24" s="11">
        <v>1003</v>
      </c>
      <c r="J24" s="12" t="s">
        <v>18</v>
      </c>
      <c r="K24" s="13" t="s">
        <v>368</v>
      </c>
      <c r="L24" s="16" t="s">
        <v>436</v>
      </c>
    </row>
    <row r="25" spans="1:12" ht="16.5" customHeight="1" x14ac:dyDescent="0.25">
      <c r="A25" s="9">
        <f t="shared" si="0"/>
        <v>25</v>
      </c>
      <c r="B25" s="10">
        <v>1011</v>
      </c>
      <c r="C25" s="11" t="s">
        <v>147</v>
      </c>
      <c r="D25" s="11" t="s">
        <v>148</v>
      </c>
      <c r="E25" s="11">
        <v>155029788</v>
      </c>
      <c r="F25" s="11">
        <v>155029788</v>
      </c>
      <c r="G25" s="11" t="s">
        <v>15</v>
      </c>
      <c r="H25" s="11" t="s">
        <v>365</v>
      </c>
      <c r="I25" s="11"/>
      <c r="J25" s="12" t="s">
        <v>18</v>
      </c>
      <c r="K25" s="13" t="s">
        <v>368</v>
      </c>
      <c r="L25" s="16" t="s">
        <v>436</v>
      </c>
    </row>
    <row r="26" spans="1:12" ht="16.5" customHeight="1" x14ac:dyDescent="0.25">
      <c r="A26" s="9">
        <f t="shared" si="0"/>
        <v>26</v>
      </c>
      <c r="B26" s="10">
        <v>894</v>
      </c>
      <c r="C26" s="11" t="s">
        <v>126</v>
      </c>
      <c r="D26" s="11">
        <v>4457988</v>
      </c>
      <c r="E26" s="11" t="s">
        <v>7</v>
      </c>
      <c r="F26" s="11" t="s">
        <v>7</v>
      </c>
      <c r="G26" s="11" t="s">
        <v>128</v>
      </c>
      <c r="H26" s="11"/>
      <c r="I26" s="11">
        <v>1011</v>
      </c>
      <c r="J26" s="12" t="s">
        <v>18</v>
      </c>
      <c r="K26" s="13" t="s">
        <v>368</v>
      </c>
      <c r="L26" s="16" t="s">
        <v>436</v>
      </c>
    </row>
    <row r="27" spans="1:12" ht="16.5" customHeight="1" x14ac:dyDescent="0.25">
      <c r="A27" s="9">
        <f t="shared" si="0"/>
        <v>27</v>
      </c>
      <c r="B27" s="10">
        <v>1077</v>
      </c>
      <c r="C27" s="11" t="s">
        <v>166</v>
      </c>
      <c r="D27" s="11">
        <v>4303353</v>
      </c>
      <c r="E27" s="11">
        <v>156232290</v>
      </c>
      <c r="F27" s="11" t="s">
        <v>7</v>
      </c>
      <c r="G27" s="11" t="s">
        <v>14</v>
      </c>
      <c r="H27" s="11"/>
      <c r="I27" s="11">
        <v>1598</v>
      </c>
      <c r="J27" s="12" t="s">
        <v>24</v>
      </c>
      <c r="K27" s="13" t="s">
        <v>368</v>
      </c>
      <c r="L27" s="16" t="s">
        <v>436</v>
      </c>
    </row>
    <row r="28" spans="1:12" ht="16.5" customHeight="1" x14ac:dyDescent="0.25">
      <c r="A28" s="9">
        <f t="shared" si="0"/>
        <v>28</v>
      </c>
      <c r="B28" s="10">
        <v>252</v>
      </c>
      <c r="C28" s="11" t="s">
        <v>27</v>
      </c>
      <c r="D28" s="11">
        <v>4305997</v>
      </c>
      <c r="E28" s="11" t="s">
        <v>7</v>
      </c>
      <c r="F28" s="11" t="s">
        <v>7</v>
      </c>
      <c r="G28" s="11" t="s">
        <v>14</v>
      </c>
      <c r="H28" s="11"/>
      <c r="I28" s="11">
        <v>1736</v>
      </c>
      <c r="J28" s="12" t="s">
        <v>24</v>
      </c>
      <c r="K28" s="13" t="s">
        <v>368</v>
      </c>
      <c r="L28" s="16" t="s">
        <v>436</v>
      </c>
    </row>
    <row r="29" spans="1:12" ht="16.5" customHeight="1" x14ac:dyDescent="0.25">
      <c r="A29" s="9">
        <f t="shared" si="0"/>
        <v>29</v>
      </c>
      <c r="B29" s="10">
        <v>8273</v>
      </c>
      <c r="C29" s="11" t="s">
        <v>301</v>
      </c>
      <c r="D29" s="11">
        <v>4303353</v>
      </c>
      <c r="E29" s="11">
        <v>156232290</v>
      </c>
      <c r="F29" s="11" t="s">
        <v>7</v>
      </c>
      <c r="G29" s="11" t="s">
        <v>100</v>
      </c>
      <c r="H29" s="11"/>
      <c r="I29" s="11">
        <v>1598</v>
      </c>
      <c r="J29" s="12" t="s">
        <v>24</v>
      </c>
      <c r="K29" s="13" t="s">
        <v>368</v>
      </c>
      <c r="L29" s="16" t="s">
        <v>436</v>
      </c>
    </row>
    <row r="30" spans="1:12" ht="16.5" customHeight="1" x14ac:dyDescent="0.25">
      <c r="A30" s="9">
        <f t="shared" si="0"/>
        <v>30</v>
      </c>
      <c r="B30" s="10">
        <v>309</v>
      </c>
      <c r="C30" s="11" t="s">
        <v>32</v>
      </c>
      <c r="D30" s="11">
        <v>4306298</v>
      </c>
      <c r="E30" s="11" t="s">
        <v>7</v>
      </c>
      <c r="F30" s="11" t="s">
        <v>7</v>
      </c>
      <c r="G30" s="11" t="s">
        <v>218</v>
      </c>
      <c r="H30" s="11"/>
      <c r="I30" s="11">
        <v>1189</v>
      </c>
      <c r="J30" s="12" t="s">
        <v>24</v>
      </c>
      <c r="K30" s="13" t="s">
        <v>368</v>
      </c>
      <c r="L30" s="16" t="s">
        <v>436</v>
      </c>
    </row>
    <row r="31" spans="1:12" ht="16.5" customHeight="1" x14ac:dyDescent="0.25">
      <c r="A31" s="9">
        <f t="shared" si="0"/>
        <v>31</v>
      </c>
      <c r="B31" s="10">
        <v>8268</v>
      </c>
      <c r="C31" s="11" t="s">
        <v>292</v>
      </c>
      <c r="D31" s="11">
        <v>4302462</v>
      </c>
      <c r="E31" s="11" t="s">
        <v>7</v>
      </c>
      <c r="F31" s="11" t="s">
        <v>7</v>
      </c>
      <c r="G31" s="11" t="s">
        <v>218</v>
      </c>
      <c r="H31" s="11"/>
      <c r="I31" s="11">
        <v>1444</v>
      </c>
      <c r="J31" s="12" t="s">
        <v>24</v>
      </c>
      <c r="K31" s="13" t="s">
        <v>368</v>
      </c>
      <c r="L31" s="16" t="s">
        <v>436</v>
      </c>
    </row>
    <row r="32" spans="1:12" ht="16.5" customHeight="1" x14ac:dyDescent="0.25">
      <c r="A32" s="9">
        <f t="shared" si="0"/>
        <v>32</v>
      </c>
      <c r="B32" s="10">
        <v>242</v>
      </c>
      <c r="C32" s="11" t="s">
        <v>23</v>
      </c>
      <c r="D32" s="11">
        <v>4302462</v>
      </c>
      <c r="E32" s="11" t="s">
        <v>7</v>
      </c>
      <c r="F32" s="11" t="s">
        <v>7</v>
      </c>
      <c r="G32" s="11" t="s">
        <v>218</v>
      </c>
      <c r="H32" s="11"/>
      <c r="I32" s="11">
        <v>1444</v>
      </c>
      <c r="J32" s="12" t="s">
        <v>24</v>
      </c>
      <c r="K32" s="13" t="s">
        <v>368</v>
      </c>
      <c r="L32" s="16" t="s">
        <v>436</v>
      </c>
    </row>
    <row r="33" spans="1:12" ht="16.5" customHeight="1" x14ac:dyDescent="0.25">
      <c r="A33" s="9">
        <f t="shared" si="0"/>
        <v>33</v>
      </c>
      <c r="B33" s="10">
        <v>8258</v>
      </c>
      <c r="C33" s="11" t="s">
        <v>279</v>
      </c>
      <c r="D33" s="11">
        <v>4360714</v>
      </c>
      <c r="E33" s="11">
        <v>156603112</v>
      </c>
      <c r="F33" s="11" t="s">
        <v>7</v>
      </c>
      <c r="G33" s="11" t="s">
        <v>100</v>
      </c>
      <c r="H33" s="11"/>
      <c r="I33" s="11">
        <v>8035</v>
      </c>
      <c r="J33" s="12" t="s">
        <v>84</v>
      </c>
      <c r="K33" s="13" t="s">
        <v>368</v>
      </c>
      <c r="L33" s="16" t="s">
        <v>436</v>
      </c>
    </row>
    <row r="34" spans="1:12" ht="16.5" customHeight="1" x14ac:dyDescent="0.25">
      <c r="A34" s="9">
        <f t="shared" si="0"/>
        <v>34</v>
      </c>
      <c r="B34" s="10">
        <v>8282</v>
      </c>
      <c r="C34" s="11" t="s">
        <v>312</v>
      </c>
      <c r="D34" s="11">
        <v>4980262</v>
      </c>
      <c r="E34" s="11">
        <v>155766251</v>
      </c>
      <c r="F34" s="11" t="s">
        <v>7</v>
      </c>
      <c r="G34" s="11" t="s">
        <v>313</v>
      </c>
      <c r="H34" s="11"/>
      <c r="I34" s="11">
        <v>917</v>
      </c>
      <c r="J34" s="12" t="s">
        <v>84</v>
      </c>
      <c r="K34" s="13" t="s">
        <v>368</v>
      </c>
      <c r="L34" s="16" t="s">
        <v>436</v>
      </c>
    </row>
    <row r="35" spans="1:12" ht="16.5" customHeight="1" x14ac:dyDescent="0.25">
      <c r="A35" s="9">
        <f t="shared" si="0"/>
        <v>35</v>
      </c>
      <c r="B35" s="10">
        <v>1098</v>
      </c>
      <c r="C35" s="11" t="s">
        <v>175</v>
      </c>
      <c r="D35" s="11">
        <v>4951273</v>
      </c>
      <c r="E35" s="11">
        <v>154728084</v>
      </c>
      <c r="F35" s="11" t="s">
        <v>7</v>
      </c>
      <c r="G35" s="11" t="s">
        <v>177</v>
      </c>
      <c r="H35" s="11"/>
      <c r="I35" s="11">
        <v>39</v>
      </c>
      <c r="J35" s="12" t="s">
        <v>84</v>
      </c>
      <c r="K35" s="13" t="s">
        <v>368</v>
      </c>
      <c r="L35" s="16" t="s">
        <v>436</v>
      </c>
    </row>
    <row r="36" spans="1:12" ht="16.5" customHeight="1" x14ac:dyDescent="0.25">
      <c r="A36" s="9">
        <f t="shared" si="0"/>
        <v>36</v>
      </c>
      <c r="B36" s="10">
        <v>1288</v>
      </c>
      <c r="C36" s="11" t="s">
        <v>222</v>
      </c>
      <c r="D36" s="11">
        <v>4973986</v>
      </c>
      <c r="E36" s="11">
        <v>155259256</v>
      </c>
      <c r="F36" s="11" t="s">
        <v>7</v>
      </c>
      <c r="G36" s="11" t="s">
        <v>223</v>
      </c>
      <c r="H36" s="11"/>
      <c r="I36" s="11">
        <v>1473</v>
      </c>
      <c r="J36" s="12" t="s">
        <v>34</v>
      </c>
      <c r="K36" s="13" t="s">
        <v>368</v>
      </c>
      <c r="L36" s="16" t="s">
        <v>436</v>
      </c>
    </row>
    <row r="37" spans="1:12" ht="16.5" customHeight="1" x14ac:dyDescent="0.25">
      <c r="A37" s="9">
        <f t="shared" si="0"/>
        <v>37</v>
      </c>
      <c r="B37" s="10">
        <v>1393</v>
      </c>
      <c r="C37" s="11" t="s">
        <v>244</v>
      </c>
      <c r="D37" s="11">
        <v>4952443</v>
      </c>
      <c r="E37" s="11">
        <v>154545384</v>
      </c>
      <c r="F37" s="11">
        <v>154545384</v>
      </c>
      <c r="G37" s="11" t="s">
        <v>245</v>
      </c>
      <c r="H37" s="11"/>
      <c r="I37" s="11">
        <v>8565</v>
      </c>
      <c r="J37" s="12" t="s">
        <v>34</v>
      </c>
      <c r="K37" s="13" t="s">
        <v>368</v>
      </c>
      <c r="L37" s="16" t="s">
        <v>436</v>
      </c>
    </row>
    <row r="38" spans="1:12" ht="16.5" customHeight="1" x14ac:dyDescent="0.25">
      <c r="A38" s="9">
        <f t="shared" si="0"/>
        <v>38</v>
      </c>
      <c r="B38" s="10">
        <v>1053</v>
      </c>
      <c r="C38" s="56" t="s">
        <v>157</v>
      </c>
      <c r="D38" s="11">
        <v>4810457</v>
      </c>
      <c r="E38" s="11">
        <v>155380174</v>
      </c>
      <c r="F38" s="11" t="s">
        <v>7</v>
      </c>
      <c r="G38" s="11" t="s">
        <v>359</v>
      </c>
      <c r="H38" s="11"/>
      <c r="I38" s="11">
        <v>1860</v>
      </c>
      <c r="J38" s="12" t="s">
        <v>34</v>
      </c>
      <c r="K38" s="13" t="s">
        <v>368</v>
      </c>
      <c r="L38" s="16" t="s">
        <v>436</v>
      </c>
    </row>
    <row r="40" spans="1:12" ht="16.5" customHeight="1" x14ac:dyDescent="0.25">
      <c r="B40" s="58">
        <v>200</v>
      </c>
      <c r="C40">
        <v>100</v>
      </c>
    </row>
    <row r="41" spans="1:12" ht="16.5" customHeight="1" x14ac:dyDescent="0.25">
      <c r="B41" s="58">
        <v>40</v>
      </c>
      <c r="C41" s="24">
        <f>B41*C40/B40</f>
        <v>20</v>
      </c>
    </row>
  </sheetData>
  <sortState ref="A1:L189">
    <sortCondition ref="L1:L189"/>
    <sortCondition ref="J1:J189"/>
    <sortCondition ref="G1:G189"/>
    <sortCondition ref="I1:I1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Luffi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Luffi</cp:lastModifiedBy>
  <cp:lastPrinted>2014-12-01T14:09:14Z</cp:lastPrinted>
  <dcterms:created xsi:type="dcterms:W3CDTF">2014-09-16T11:45:19Z</dcterms:created>
  <dcterms:modified xsi:type="dcterms:W3CDTF">2015-06-03T13:57:43Z</dcterms:modified>
</cp:coreProperties>
</file>